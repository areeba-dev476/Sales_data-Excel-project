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mc:AlternateContent xmlns:mc="http://schemas.openxmlformats.org/markup-compatibility/2006">
    <mc:Choice Requires="x15">
      <x15ac:absPath xmlns:x15ac="http://schemas.microsoft.com/office/spreadsheetml/2010/11/ac" url="C:\Users\Areeba\Documents\data science-project\Excel project\"/>
    </mc:Choice>
  </mc:AlternateContent>
  <xr:revisionPtr revIDLastSave="0" documentId="8_{47940622-2212-4F02-83D9-9716C010CB43}" xr6:coauthVersionLast="47" xr6:coauthVersionMax="47" xr10:uidLastSave="{00000000-0000-0000-0000-000000000000}"/>
  <bookViews>
    <workbookView xWindow="-108" yWindow="-108" windowWidth="23256" windowHeight="12456" tabRatio="500" xr2:uid="{00000000-000D-0000-FFFF-FFFF00000000}"/>
  </bookViews>
  <sheets>
    <sheet name="Sheet2" sheetId="2" r:id="rId1"/>
    <sheet name="Sheet1" sheetId="1" r:id="rId2"/>
  </sheets>
  <definedNames>
    <definedName name="Slicer_Region">#N/A</definedName>
  </definedNames>
  <calcPr calcId="191029" iterateDelta="1E-4"/>
  <pivotCaches>
    <pivotCache cacheId="6"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I71" i="1" l="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K61" i="1"/>
  <c r="L61" i="1" s="1"/>
  <c r="I61" i="1"/>
  <c r="K60" i="1"/>
  <c r="L60" i="1" s="1"/>
  <c r="I60" i="1"/>
  <c r="K59" i="1"/>
  <c r="L59" i="1" s="1"/>
  <c r="I59" i="1"/>
  <c r="I58" i="1"/>
  <c r="K58" i="1" s="1"/>
  <c r="L58" i="1" s="1"/>
  <c r="I57" i="1"/>
  <c r="K57" i="1" s="1"/>
  <c r="L57" i="1" s="1"/>
  <c r="I56" i="1"/>
  <c r="K56" i="1" s="1"/>
  <c r="L56" i="1" s="1"/>
  <c r="I55" i="1"/>
  <c r="K55" i="1" s="1"/>
  <c r="L55" i="1" s="1"/>
  <c r="I54" i="1"/>
  <c r="K54" i="1" s="1"/>
  <c r="L54" i="1" s="1"/>
  <c r="K53" i="1"/>
  <c r="L53" i="1" s="1"/>
  <c r="I53" i="1"/>
  <c r="K52" i="1"/>
  <c r="L52" i="1" s="1"/>
  <c r="I52" i="1"/>
  <c r="K51" i="1"/>
  <c r="L51" i="1" s="1"/>
  <c r="I51" i="1"/>
  <c r="I50" i="1"/>
  <c r="K50" i="1" s="1"/>
  <c r="L50" i="1" s="1"/>
  <c r="I49" i="1"/>
  <c r="K49" i="1" s="1"/>
  <c r="L49" i="1" s="1"/>
  <c r="I48" i="1"/>
  <c r="K48" i="1" s="1"/>
  <c r="L48" i="1" s="1"/>
  <c r="I47" i="1"/>
  <c r="K47" i="1" s="1"/>
  <c r="L47" i="1" s="1"/>
  <c r="I46" i="1"/>
  <c r="K46" i="1" s="1"/>
  <c r="L46" i="1" s="1"/>
  <c r="K45" i="1"/>
  <c r="L45" i="1" s="1"/>
  <c r="I45" i="1"/>
  <c r="K44" i="1"/>
  <c r="L44" i="1" s="1"/>
  <c r="I44" i="1"/>
  <c r="K43" i="1"/>
  <c r="L43" i="1" s="1"/>
  <c r="I43" i="1"/>
  <c r="I42" i="1"/>
  <c r="K42" i="1" s="1"/>
  <c r="L42" i="1" s="1"/>
  <c r="I41" i="1"/>
  <c r="K41" i="1" s="1"/>
  <c r="L41" i="1" s="1"/>
  <c r="I40" i="1"/>
  <c r="K40" i="1" s="1"/>
  <c r="L40" i="1" s="1"/>
  <c r="I39" i="1"/>
  <c r="K39" i="1" s="1"/>
  <c r="L39" i="1" s="1"/>
  <c r="I38" i="1"/>
  <c r="K38" i="1" s="1"/>
  <c r="L38" i="1" s="1"/>
  <c r="K37" i="1"/>
  <c r="L37" i="1" s="1"/>
  <c r="I37" i="1"/>
  <c r="K36" i="1"/>
  <c r="L36" i="1" s="1"/>
  <c r="I36" i="1"/>
  <c r="K35" i="1"/>
  <c r="L35" i="1" s="1"/>
  <c r="I35" i="1"/>
  <c r="I34" i="1"/>
  <c r="K34" i="1" s="1"/>
  <c r="L34" i="1" s="1"/>
  <c r="I33" i="1"/>
  <c r="K33" i="1" s="1"/>
  <c r="L33" i="1" s="1"/>
  <c r="I32" i="1"/>
  <c r="K32" i="1" s="1"/>
  <c r="L32" i="1" s="1"/>
  <c r="I31" i="1"/>
  <c r="K31" i="1" s="1"/>
  <c r="L31" i="1" s="1"/>
  <c r="I30" i="1"/>
  <c r="K30" i="1" s="1"/>
  <c r="L30" i="1" s="1"/>
  <c r="K29" i="1"/>
  <c r="L29" i="1" s="1"/>
  <c r="I29" i="1"/>
  <c r="K28" i="1"/>
  <c r="L28" i="1" s="1"/>
  <c r="I28" i="1"/>
  <c r="K27" i="1"/>
  <c r="L27" i="1" s="1"/>
  <c r="I27" i="1"/>
  <c r="I26" i="1"/>
  <c r="K26" i="1" s="1"/>
  <c r="L26" i="1" s="1"/>
  <c r="I25" i="1"/>
  <c r="K25" i="1" s="1"/>
  <c r="L25" i="1" s="1"/>
  <c r="I24" i="1"/>
  <c r="K24" i="1" s="1"/>
  <c r="L24" i="1" s="1"/>
  <c r="I23" i="1"/>
  <c r="K23" i="1" s="1"/>
  <c r="L23" i="1" s="1"/>
  <c r="I22" i="1"/>
  <c r="K22" i="1" s="1"/>
  <c r="L22" i="1" s="1"/>
  <c r="K21" i="1"/>
  <c r="L21" i="1" s="1"/>
  <c r="I21" i="1"/>
  <c r="K20" i="1"/>
  <c r="L20" i="1" s="1"/>
  <c r="I20" i="1"/>
  <c r="K19" i="1"/>
  <c r="L19" i="1" s="1"/>
  <c r="I19" i="1"/>
  <c r="I18" i="1"/>
  <c r="K18" i="1" s="1"/>
  <c r="L18" i="1" s="1"/>
  <c r="I17" i="1"/>
  <c r="K17" i="1" s="1"/>
  <c r="L17" i="1" s="1"/>
  <c r="I16" i="1"/>
  <c r="K16" i="1" s="1"/>
  <c r="L16" i="1" s="1"/>
  <c r="I15" i="1"/>
  <c r="K15" i="1" s="1"/>
  <c r="L15" i="1" s="1"/>
  <c r="I14" i="1"/>
  <c r="K14" i="1" s="1"/>
  <c r="L14" i="1" s="1"/>
  <c r="K13" i="1"/>
  <c r="L13" i="1" s="1"/>
  <c r="I13" i="1"/>
  <c r="K12" i="1"/>
  <c r="L12" i="1" s="1"/>
  <c r="I12" i="1"/>
  <c r="K11" i="1"/>
  <c r="L11" i="1" s="1"/>
  <c r="I11" i="1"/>
  <c r="I10" i="1"/>
  <c r="K10" i="1" s="1"/>
  <c r="L10" i="1" s="1"/>
  <c r="I9" i="1"/>
  <c r="K9" i="1" s="1"/>
  <c r="L9" i="1" s="1"/>
  <c r="I8" i="1"/>
  <c r="K8" i="1" s="1"/>
  <c r="L8" i="1" s="1"/>
  <c r="I7" i="1"/>
  <c r="K7" i="1" s="1"/>
  <c r="L7" i="1" s="1"/>
  <c r="I6" i="1"/>
  <c r="K6" i="1" s="1"/>
  <c r="L6" i="1" s="1"/>
  <c r="K5" i="1"/>
  <c r="L5" i="1" s="1"/>
  <c r="I5" i="1"/>
  <c r="K4" i="1"/>
  <c r="L4" i="1" s="1"/>
  <c r="I4" i="1"/>
  <c r="K3" i="1"/>
  <c r="L3" i="1" s="1"/>
  <c r="I3" i="1"/>
  <c r="I2" i="1"/>
  <c r="K2" i="1" s="1"/>
  <c r="L2" i="1" s="1"/>
</calcChain>
</file>

<file path=xl/sharedStrings.xml><?xml version="1.0" encoding="utf-8"?>
<sst xmlns="http://schemas.openxmlformats.org/spreadsheetml/2006/main" count="254" uniqueCount="173">
  <si>
    <t>Emp Code</t>
  </si>
  <si>
    <t>Sales Executive</t>
  </si>
  <si>
    <t>Region</t>
  </si>
  <si>
    <t>Day1</t>
  </si>
  <si>
    <t>Day2</t>
  </si>
  <si>
    <t>Day3</t>
  </si>
  <si>
    <t>Day4</t>
  </si>
  <si>
    <t>Day5</t>
  </si>
  <si>
    <t>Total Sales</t>
  </si>
  <si>
    <t>Target</t>
  </si>
  <si>
    <t>Target Hit %</t>
  </si>
  <si>
    <t>Away From Target %</t>
  </si>
  <si>
    <t>Hyd-TCL001</t>
  </si>
  <si>
    <t>Imran Khan</t>
  </si>
  <si>
    <t>Hyderabad</t>
  </si>
  <si>
    <t>Hyd-TCL002</t>
  </si>
  <si>
    <t>Umair Hameed</t>
  </si>
  <si>
    <t>Lhr-TCL001</t>
  </si>
  <si>
    <t>Hamza Farooq</t>
  </si>
  <si>
    <t>Lahore</t>
  </si>
  <si>
    <t>Fsd-TCL001</t>
  </si>
  <si>
    <t>Salman Zafar</t>
  </si>
  <si>
    <t>Faisalabad</t>
  </si>
  <si>
    <t>Guj-TCL001</t>
  </si>
  <si>
    <t>Junaid Nawaz</t>
  </si>
  <si>
    <t>Gujranwala</t>
  </si>
  <si>
    <t>Rwp-TCL001</t>
  </si>
  <si>
    <t>Adnan Farooq</t>
  </si>
  <si>
    <t>Rawalpindi</t>
  </si>
  <si>
    <t>Mul-TCL001</t>
  </si>
  <si>
    <t>Nabila Chaudhry</t>
  </si>
  <si>
    <t>Multan</t>
  </si>
  <si>
    <t>Khi-TCL001</t>
  </si>
  <si>
    <t>Rukhsana Baig</t>
  </si>
  <si>
    <t>Karachi</t>
  </si>
  <si>
    <t>Lrk-TCL001</t>
  </si>
  <si>
    <t>Wajiha Chaudhry</t>
  </si>
  <si>
    <t>Larkana</t>
  </si>
  <si>
    <t>Fsd-TCL002</t>
  </si>
  <si>
    <t>Sohail Abbasi</t>
  </si>
  <si>
    <t>Que-TCL001</t>
  </si>
  <si>
    <t>Tahir Saleem</t>
  </si>
  <si>
    <t>Quetta</t>
  </si>
  <si>
    <t>Hyd-TCL003</t>
  </si>
  <si>
    <t>Junaid Akhtar</t>
  </si>
  <si>
    <t>Isl-TCL001</t>
  </si>
  <si>
    <t>Anum Yousaf</t>
  </si>
  <si>
    <t>Islamabad</t>
  </si>
  <si>
    <t>Lrk-TCL002</t>
  </si>
  <si>
    <t>Tahir Akhtar</t>
  </si>
  <si>
    <t>Fsd-TCL003</t>
  </si>
  <si>
    <t>Tania Malik</t>
  </si>
  <si>
    <t>Lrk-TCL003</t>
  </si>
  <si>
    <t>Sidra Hameed</t>
  </si>
  <si>
    <t>Lrk-TCL004</t>
  </si>
  <si>
    <t>Aisha Zafar</t>
  </si>
  <si>
    <t>Bwp-TCL001</t>
  </si>
  <si>
    <t>Mehwish Bhatti</t>
  </si>
  <si>
    <t>Bahawalpur</t>
  </si>
  <si>
    <t>Mul-TCL002</t>
  </si>
  <si>
    <t>Asif Ahmed</t>
  </si>
  <si>
    <t>Isl-TCL002</t>
  </si>
  <si>
    <t>Tahir Iqbal</t>
  </si>
  <si>
    <t>Pes-TCL001</t>
  </si>
  <si>
    <t>Saima Awan</t>
  </si>
  <si>
    <t>Peshawar</t>
  </si>
  <si>
    <t>Bwp-TCL002</t>
  </si>
  <si>
    <t>Imran Javed</t>
  </si>
  <si>
    <t>Rwp-TCL002</t>
  </si>
  <si>
    <t>Amna Iqbal</t>
  </si>
  <si>
    <t>Sia-TCL001</t>
  </si>
  <si>
    <t>Aisha Ch. Rasheed</t>
  </si>
  <si>
    <t>Sialkot</t>
  </si>
  <si>
    <t>Fsd-TCL004</t>
  </si>
  <si>
    <t>Adnan Chaudhry</t>
  </si>
  <si>
    <t>Mul-TCL003</t>
  </si>
  <si>
    <t>Uzma Khan</t>
  </si>
  <si>
    <t>Fsd-TCL005</t>
  </si>
  <si>
    <t>Sumaira Siddiqui</t>
  </si>
  <si>
    <t>Sgd-TCL001</t>
  </si>
  <si>
    <t>Kashif Ahmed</t>
  </si>
  <si>
    <t>Sargodha</t>
  </si>
  <si>
    <t>Sia-TCL002</t>
  </si>
  <si>
    <t>Wajiha Hashmi</t>
  </si>
  <si>
    <t>Bwp-TCL003</t>
  </si>
  <si>
    <t>Saad Baig</t>
  </si>
  <si>
    <t>Que-TCL002</t>
  </si>
  <si>
    <t>Imran Sheikh</t>
  </si>
  <si>
    <t>Sia-TCL003</t>
  </si>
  <si>
    <t>Asif Siddiqui</t>
  </si>
  <si>
    <t>Fsd-TCL006</t>
  </si>
  <si>
    <t>Hassan Hameed</t>
  </si>
  <si>
    <t>Rwp-TCL003</t>
  </si>
  <si>
    <t>Yasir Gill</t>
  </si>
  <si>
    <t>Que-TCL003</t>
  </si>
  <si>
    <t>Rizwan Nawaz</t>
  </si>
  <si>
    <t>Hyd-TCL004</t>
  </si>
  <si>
    <t>Amna Chaudhry</t>
  </si>
  <si>
    <t>Hyd-TCL005</t>
  </si>
  <si>
    <t>Shoaib Ch. Rasheed</t>
  </si>
  <si>
    <t>Fsd-TCL007</t>
  </si>
  <si>
    <t>Tariq Bhatti</t>
  </si>
  <si>
    <t>Que-TCL004</t>
  </si>
  <si>
    <t>Rizwan Aslam</t>
  </si>
  <si>
    <t>Hyd-TCL006</t>
  </si>
  <si>
    <t>Anum Saleem</t>
  </si>
  <si>
    <t>Que-TCL005</t>
  </si>
  <si>
    <t>Sobia Farooq</t>
  </si>
  <si>
    <t>Pes-TCL002</t>
  </si>
  <si>
    <t>Zeeshan Rehman</t>
  </si>
  <si>
    <t>Hyd-TCL007</t>
  </si>
  <si>
    <t>Salman Gill</t>
  </si>
  <si>
    <t>Guj-TCL002</t>
  </si>
  <si>
    <t>Umair Bhatti</t>
  </si>
  <si>
    <t>Que-TCL006</t>
  </si>
  <si>
    <t>Iqra Rehman</t>
  </si>
  <si>
    <t>Suk-TCL001</t>
  </si>
  <si>
    <t>Shahzad Butt</t>
  </si>
  <si>
    <t>Sukkur</t>
  </si>
  <si>
    <t>Khi-TCL002</t>
  </si>
  <si>
    <t>Rizwan Siddiqui</t>
  </si>
  <si>
    <t>Hyd-TCL008</t>
  </si>
  <si>
    <t>Bushra Siddiqui</t>
  </si>
  <si>
    <t>Bwp-TCL004</t>
  </si>
  <si>
    <t>Sana Sheikh</t>
  </si>
  <si>
    <t>Rwp-TCL004</t>
  </si>
  <si>
    <t>Nadia Qureshi</t>
  </si>
  <si>
    <t>Khi-TCL003</t>
  </si>
  <si>
    <t>Hassan Bhatti</t>
  </si>
  <si>
    <t>Lrk-TCL005</t>
  </si>
  <si>
    <t>Rizwan Chaudhry</t>
  </si>
  <si>
    <t>Guj-TCL003</t>
  </si>
  <si>
    <t>Farah Zafar</t>
  </si>
  <si>
    <t>Lrk-TCL006</t>
  </si>
  <si>
    <t>Yasir Ch. Rasheed</t>
  </si>
  <si>
    <t>Isl-TCL003</t>
  </si>
  <si>
    <t>Junaid Abbasi</t>
  </si>
  <si>
    <t>Hyd-TCL009</t>
  </si>
  <si>
    <t>Nabila Raza</t>
  </si>
  <si>
    <t>Hyd-TCL010</t>
  </si>
  <si>
    <t>Amna Saleem</t>
  </si>
  <si>
    <t>Hyd-TCL011</t>
  </si>
  <si>
    <t>Zeeshan Iqbal</t>
  </si>
  <si>
    <t>Khi-TCL004</t>
  </si>
  <si>
    <t>Adeel Hameed</t>
  </si>
  <si>
    <t>Sia-TCL004</t>
  </si>
  <si>
    <t>Adnan Mirza</t>
  </si>
  <si>
    <t>Lrk-TCL007</t>
  </si>
  <si>
    <t>Fatima Farooq</t>
  </si>
  <si>
    <t>Sgd-TCL002</t>
  </si>
  <si>
    <t>Mehwish Hameed</t>
  </si>
  <si>
    <t>Sgd-TCL003</t>
  </si>
  <si>
    <t>Farah Iqbal</t>
  </si>
  <si>
    <t>Sgd-TCL004</t>
  </si>
  <si>
    <t>Yasir Aslam</t>
  </si>
  <si>
    <t>Pes-TCL003</t>
  </si>
  <si>
    <t>Wajiha Malik</t>
  </si>
  <si>
    <t>Rwp-TCL005</t>
  </si>
  <si>
    <t>Tania Nawaz</t>
  </si>
  <si>
    <t>Pes-TCL004</t>
  </si>
  <si>
    <t>Ayesha Raza</t>
  </si>
  <si>
    <t>Pes-TCL005</t>
  </si>
  <si>
    <t>Nasir Saleem</t>
  </si>
  <si>
    <t>Isl-TCL004</t>
  </si>
  <si>
    <t>Bushra Raza</t>
  </si>
  <si>
    <t>Bwp-TCL005</t>
  </si>
  <si>
    <t>Aliya Qureshi</t>
  </si>
  <si>
    <t>Grand Total</t>
  </si>
  <si>
    <t>Sum of Away From Target %</t>
  </si>
  <si>
    <t>Slaes Executive</t>
  </si>
  <si>
    <t xml:space="preserve">Target Hit % </t>
  </si>
  <si>
    <t xml:space="preserve"> Away From Target % </t>
  </si>
  <si>
    <t>Project Made by Areeba Sattar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</si>
</sst>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charset val="1"/>
    </font>
    <font>
      <b/>
      <sz val="11"/>
      <name val="Arial"/>
      <charset val="1"/>
    </font>
    <font>
      <sz val="11"/>
      <name val="Arial"/>
      <charset val="1"/>
    </font>
    <font>
      <sz val="8"/>
      <name val="Segoe UI"/>
      <family val="2"/>
    </font>
  </fonts>
  <fills count="4">
    <fill>
      <patternFill patternType="none"/>
    </fill>
    <fill>
      <patternFill patternType="gray125"/>
    </fill>
    <fill>
      <patternFill patternType="solid">
        <fgColor rgb="FFFFFF00"/>
        <bgColor rgb="FFFFFF00"/>
      </patternFill>
    </fill>
    <fill>
      <patternFill patternType="solid">
        <fgColor theme="0" tint="-0.24997711111789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1">
    <xf numFmtId="0" fontId="0" fillId="0" borderId="0" xfId="0"/>
    <xf numFmtId="0" fontId="1" fillId="2" borderId="1" xfId="0" applyFont="1" applyFill="1" applyBorder="1" applyAlignment="1">
      <alignment horizontal="center"/>
    </xf>
    <xf numFmtId="0" fontId="2" fillId="2" borderId="1" xfId="0" applyFont="1" applyFill="1" applyBorder="1"/>
    <xf numFmtId="0" fontId="1" fillId="0" borderId="1" xfId="0" applyFont="1" applyBorder="1"/>
    <xf numFmtId="0" fontId="2" fillId="0" borderId="1" xfId="0" applyFont="1" applyBorder="1"/>
    <xf numFmtId="0" fontId="2" fillId="0" borderId="1" xfId="0" applyFont="1" applyBorder="1" applyAlignment="1">
      <alignment horizontal="center"/>
    </xf>
    <xf numFmtId="10" fontId="2" fillId="0" borderId="1" xfId="0" applyNumberFormat="1" applyFont="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3" borderId="0" xfId="0" applyFill="1"/>
  </cellXfs>
  <cellStyles count="1">
    <cellStyle name="Normal" xfId="0" builtinId="0"/>
  </cellStyles>
  <dxfs count="1">
    <dxf>
      <fill>
        <patternFill>
          <bgColor rgb="FF7030A0"/>
        </patternFill>
      </fill>
    </dxf>
  </dxfs>
  <tableStyles count="1" defaultTableStyle="TableStyleMedium2" defaultPivotStyle="PivotStyleLight16">
    <tableStyle name="Slicer Style 1" pivot="0" table="0" count="3" xr9:uid="{F1679B8A-F7C0-492E-B0C6-5762C9E67EC0}">
      <tableStyleElement type="wholeTable" dxfId="0"/>
    </tableStyle>
  </tableStyles>
  <extLst>
    <ext xmlns:x14="http://schemas.microsoft.com/office/spreadsheetml/2009/9/main" uri="{46F421CA-312F-682f-3DD2-61675219B42D}">
      <x14:dxfs count="2">
        <dxf>
          <fill>
            <patternFill>
              <bgColor theme="6" tint="0.39994506668294322"/>
            </patternFill>
          </fill>
        </dxf>
        <dxf>
          <fill>
            <patternFill>
              <bgColor theme="8"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0"/>
            <x14:slicerStyleElement type="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[sales_data_pakistani.xlsm]Sheet2!PivotTable1</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Sheet2!$C$3</c:f>
              <c:strCache>
                <c:ptCount val="1"/>
                <c:pt idx="0">
                  <c:v>Total</c:v>
                </c:pt>
              </c:strCache>
            </c:strRef>
          </c:tx>
          <c:spPr>
            <a:solidFill>
              <a:schemeClr val="accent1"/>
            </a:solidFill>
            <a:ln>
              <a:noFill/>
            </a:ln>
            <a:effectLst/>
          </c:spPr>
          <c:invertIfNegative val="0"/>
          <c:cat>
            <c:strRef>
              <c:f>Sheet2!$B$4:$B$8</c:f>
              <c:strCache>
                <c:ptCount val="4"/>
                <c:pt idx="0">
                  <c:v>Adeel Hameed</c:v>
                </c:pt>
                <c:pt idx="1">
                  <c:v>Hassan Bhatti</c:v>
                </c:pt>
                <c:pt idx="2">
                  <c:v>Rizwan Siddiqui</c:v>
                </c:pt>
                <c:pt idx="3">
                  <c:v>Rukhsana Baig</c:v>
                </c:pt>
              </c:strCache>
            </c:strRef>
          </c:cat>
          <c:val>
            <c:numRef>
              <c:f>Sheet2!$C$4:$C$8</c:f>
              <c:numCache>
                <c:formatCode>0.00%</c:formatCode>
                <c:ptCount val="4"/>
                <c:pt idx="0">
                  <c:v>0.47399999999999998</c:v>
                </c:pt>
                <c:pt idx="1">
                  <c:v>0.53200000000000003</c:v>
                </c:pt>
                <c:pt idx="2">
                  <c:v>0.45399999999999996</c:v>
                </c:pt>
                <c:pt idx="3">
                  <c:v>0.34799999999999998</c:v>
                </c:pt>
              </c:numCache>
            </c:numRef>
          </c:val>
          <c:extLst>
            <c:ext xmlns:c16="http://schemas.microsoft.com/office/drawing/2014/chart" uri="{C3380CC4-5D6E-409C-BE32-E72D297353CC}">
              <c16:uniqueId val="{00000000-BF83-4355-B9BC-F0F686541519}"/>
            </c:ext>
          </c:extLst>
        </c:ser>
        <c:dLbls>
          <c:showLegendKey val="0"/>
          <c:showVal val="0"/>
          <c:showCatName val="0"/>
          <c:showSerName val="0"/>
          <c:showPercent val="0"/>
          <c:showBubbleSize val="0"/>
        </c:dLbls>
        <c:gapWidth val="182"/>
        <c:axId val="984799583"/>
        <c:axId val="1411216751"/>
      </c:barChart>
      <c:catAx>
        <c:axId val="9847995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411216751"/>
        <c:crosses val="autoZero"/>
        <c:auto val="1"/>
        <c:lblAlgn val="ctr"/>
        <c:lblOffset val="100"/>
        <c:noMultiLvlLbl val="0"/>
      </c:catAx>
      <c:valAx>
        <c:axId val="1411216751"/>
        <c:scaling>
          <c:orientation val="minMax"/>
        </c:scaling>
        <c:delete val="1"/>
        <c:axPos val="b"/>
        <c:numFmt formatCode="0.00%" sourceLinked="1"/>
        <c:majorTickMark val="none"/>
        <c:minorTickMark val="none"/>
        <c:tickLblPos val="nextTo"/>
        <c:crossAx val="984799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[sales_data_pakistani.xlsm]Sheet2!PivotTable4</c:name>
    <c:fmtId val="3"/>
  </c:pivotSource>
  <c:chart>
    <c:autoTitleDeleted val="1"/>
    <c:pivotFmts>
      <c:pivotFmt>
        <c:idx val="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PK"/>
            </a:p>
          </c:txPr>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Sheet2!$L$3</c:f>
              <c:strCache>
                <c:ptCount val="1"/>
                <c:pt idx="0">
                  <c:v>Total</c:v>
                </c:pt>
              </c:strCache>
            </c:strRef>
          </c:tx>
          <c:dPt>
            <c:idx val="0"/>
            <c:bubble3D val="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dPt>
          <c:dPt>
            <c:idx val="1"/>
            <c:bubble3D val="0"/>
            <c:spPr>
              <a:gradFill>
                <a:gsLst>
                  <a:gs pos="0">
                    <a:schemeClr val="accent2">
                      <a:shade val="51000"/>
                    </a:schemeClr>
                  </a:gs>
                  <a:gs pos="80000">
                    <a:schemeClr val="accent2">
                      <a:shade val="93000"/>
                    </a:schemeClr>
                  </a:gs>
                  <a:gs pos="100000">
                    <a:schemeClr val="accent2">
                      <a:shade val="94000"/>
                    </a:schemeClr>
                  </a:gs>
                </a:gsLst>
                <a:lin ang="16200000" scaled="0"/>
                <a:tileRect/>
              </a:gradFill>
              <a:ln>
                <a:noFill/>
              </a:ln>
              <a:effectLst/>
            </c:spPr>
          </c:dPt>
          <c:dPt>
            <c:idx val="2"/>
            <c:bubble3D val="0"/>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dPt>
          <c:dPt>
            <c:idx val="3"/>
            <c:bubble3D val="0"/>
            <c:spPr>
              <a:gradFill>
                <a:gsLst>
                  <a:gs pos="0">
                    <a:schemeClr val="accent4">
                      <a:shade val="51000"/>
                    </a:schemeClr>
                  </a:gs>
                  <a:gs pos="80000">
                    <a:schemeClr val="accent4">
                      <a:shade val="93000"/>
                    </a:schemeClr>
                  </a:gs>
                  <a:gs pos="100000">
                    <a:schemeClr val="accent4">
                      <a:shade val="94000"/>
                    </a:schemeClr>
                  </a:gs>
                </a:gsLst>
                <a:lin ang="16200000" scaled="0"/>
                <a:tileRect/>
              </a:gradFill>
              <a:ln>
                <a:noFill/>
              </a:ln>
              <a:effectLst/>
            </c:spPr>
          </c:dPt>
          <c:dPt>
            <c:idx val="4"/>
            <c:bubble3D val="0"/>
            <c:spPr>
              <a:gradFill>
                <a:gsLst>
                  <a:gs pos="0">
                    <a:schemeClr val="accent5">
                      <a:shade val="51000"/>
                    </a:schemeClr>
                  </a:gs>
                  <a:gs pos="80000">
                    <a:schemeClr val="accent5">
                      <a:shade val="93000"/>
                    </a:schemeClr>
                  </a:gs>
                  <a:gs pos="100000">
                    <a:schemeClr val="accent5">
                      <a:shade val="94000"/>
                    </a:schemeClr>
                  </a:gs>
                </a:gsLst>
                <a:lin ang="16200000" scaled="0"/>
                <a:tileRect/>
              </a:gradFill>
              <a:ln>
                <a:noFill/>
              </a:ln>
              <a:effectLst/>
            </c:spPr>
          </c:dPt>
          <c:dPt>
            <c:idx val="5"/>
            <c:bubble3D val="0"/>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PK"/>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Sheet2!$K$4:$K$10</c:f>
              <c:strCache>
                <c:ptCount val="6"/>
                <c:pt idx="0">
                  <c:v>Adnan Mirza</c:v>
                </c:pt>
                <c:pt idx="1">
                  <c:v>Amna Saleem</c:v>
                </c:pt>
                <c:pt idx="2">
                  <c:v>Anum Saleem</c:v>
                </c:pt>
                <c:pt idx="3">
                  <c:v>Asif Siddiqui</c:v>
                </c:pt>
                <c:pt idx="4">
                  <c:v>Imran Khan</c:v>
                </c:pt>
                <c:pt idx="5">
                  <c:v>Salman Gill</c:v>
                </c:pt>
              </c:strCache>
            </c:strRef>
          </c:cat>
          <c:val>
            <c:numRef>
              <c:f>Sheet2!$L$4:$L$10</c:f>
              <c:numCache>
                <c:formatCode>0.00%</c:formatCode>
                <c:ptCount val="6"/>
                <c:pt idx="0">
                  <c:v>0.67799999999999994</c:v>
                </c:pt>
                <c:pt idx="1">
                  <c:v>0.70399999999999996</c:v>
                </c:pt>
                <c:pt idx="2">
                  <c:v>0.66999999999999993</c:v>
                </c:pt>
                <c:pt idx="3">
                  <c:v>0.65200000000000002</c:v>
                </c:pt>
                <c:pt idx="4">
                  <c:v>0.65200000000000002</c:v>
                </c:pt>
                <c:pt idx="5">
                  <c:v>0.67199999999999993</c:v>
                </c:pt>
              </c:numCache>
            </c:numRef>
          </c:val>
          <c:extLst>
            <c:ext xmlns:c16="http://schemas.microsoft.com/office/drawing/2014/chart" uri="{C3380CC4-5D6E-409C-BE32-E72D297353CC}">
              <c16:uniqueId val="{00000000-992D-427E-9CD1-2E2EB7BF8035}"/>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PK"/>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[sales_data_pakistani.xlsm]Sheet2!PivotTable5</c:name>
    <c:fmtId val="3"/>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layout>
            <c:manualLayout>
              <c:x val="-2.8935185185185184E-3"/>
              <c:y val="8.645533141210370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layout>
            <c:manualLayout>
              <c:x val="1.7361111111111004E-2"/>
              <c:y val="4.80307396733909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layout>
            <c:manualLayout>
              <c:x val="-1.060944534001666E-16"/>
              <c:y val="-4.80307396733909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layout>
            <c:manualLayout>
              <c:x val="-8.6805555555555559E-3"/>
              <c:y val="5.763688760806916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layout>
            <c:manualLayout>
              <c:x val="-8.6805555555555559E-3"/>
              <c:y val="6.724303554274735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8387715930902108E-2"/>
          <c:y val="5.2833813640730067E-2"/>
          <c:w val="0.92962252079334617"/>
          <c:h val="0.78298123397399533"/>
        </c:manualLayout>
      </c:layout>
      <c:lineChart>
        <c:grouping val="standard"/>
        <c:varyColors val="0"/>
        <c:ser>
          <c:idx val="0"/>
          <c:order val="0"/>
          <c:tx>
            <c:strRef>
              <c:f>Sheet2!$Q$3</c:f>
              <c:strCache>
                <c:ptCount val="1"/>
                <c:pt idx="0">
                  <c:v>Total</c:v>
                </c:pt>
              </c:strCache>
            </c:strRef>
          </c:tx>
          <c:spPr>
            <a:ln w="28575" cap="rnd">
              <a:solidFill>
                <a:schemeClr val="accent1"/>
              </a:solidFill>
              <a:round/>
            </a:ln>
            <a:effectLst/>
          </c:spPr>
          <c:marker>
            <c:symbol val="none"/>
          </c:marker>
          <c:dLbls>
            <c:dLbl>
              <c:idx val="0"/>
              <c:layout>
                <c:manualLayout>
                  <c:x val="-8.6805555555555559E-3"/>
                  <c:y val="6.724303554274735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BD2-497A-BF3F-738F66C79F18}"/>
                </c:ext>
              </c:extLst>
            </c:dLbl>
            <c:dLbl>
              <c:idx val="1"/>
              <c:layout>
                <c:manualLayout>
                  <c:x val="-2.8935185185185184E-3"/>
                  <c:y val="8.645533141210370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BD2-497A-BF3F-738F66C79F18}"/>
                </c:ext>
              </c:extLst>
            </c:dLbl>
            <c:dLbl>
              <c:idx val="2"/>
              <c:layout>
                <c:manualLayout>
                  <c:x val="1.7361111111111004E-2"/>
                  <c:y val="4.803073967339092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BD2-497A-BF3F-738F66C79F18}"/>
                </c:ext>
              </c:extLst>
            </c:dLbl>
            <c:dLbl>
              <c:idx val="3"/>
              <c:layout>
                <c:manualLayout>
                  <c:x val="-1.060944534001666E-16"/>
                  <c:y val="-4.803073967339097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BD2-497A-BF3F-738F66C79F18}"/>
                </c:ext>
              </c:extLst>
            </c:dLbl>
            <c:dLbl>
              <c:idx val="4"/>
              <c:layout>
                <c:manualLayout>
                  <c:x val="-8.6805555555555559E-3"/>
                  <c:y val="5.763688760806916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BD2-497A-BF3F-738F66C79F1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Sheet2!$P$4:$P$9</c:f>
              <c:strCache>
                <c:ptCount val="5"/>
                <c:pt idx="0">
                  <c:v>Aisha Ch. Rasheed</c:v>
                </c:pt>
                <c:pt idx="1">
                  <c:v>Junaid Akhtar</c:v>
                </c:pt>
                <c:pt idx="2">
                  <c:v>Saad Baig</c:v>
                </c:pt>
                <c:pt idx="3">
                  <c:v>Salman Zafar</c:v>
                </c:pt>
                <c:pt idx="4">
                  <c:v>Zeeshan Rehman</c:v>
                </c:pt>
              </c:strCache>
            </c:strRef>
          </c:cat>
          <c:val>
            <c:numRef>
              <c:f>Sheet2!$Q$4:$Q$9</c:f>
              <c:numCache>
                <c:formatCode>0.00%</c:formatCode>
                <c:ptCount val="5"/>
                <c:pt idx="0">
                  <c:v>0.21999999999999997</c:v>
                </c:pt>
                <c:pt idx="1">
                  <c:v>0.22799999999999998</c:v>
                </c:pt>
                <c:pt idx="2">
                  <c:v>0.22599999999999998</c:v>
                </c:pt>
                <c:pt idx="3">
                  <c:v>0.30800000000000005</c:v>
                </c:pt>
                <c:pt idx="4">
                  <c:v>0.28400000000000003</c:v>
                </c:pt>
              </c:numCache>
            </c:numRef>
          </c:val>
          <c:smooth val="0"/>
          <c:extLst>
            <c:ext xmlns:c16="http://schemas.microsoft.com/office/drawing/2014/chart" uri="{C3380CC4-5D6E-409C-BE32-E72D297353CC}">
              <c16:uniqueId val="{00000000-5BD2-497A-BF3F-738F66C79F18}"/>
            </c:ext>
          </c:extLst>
        </c:ser>
        <c:dLbls>
          <c:showLegendKey val="0"/>
          <c:showVal val="0"/>
          <c:showCatName val="0"/>
          <c:showSerName val="0"/>
          <c:showPercent val="0"/>
          <c:showBubbleSize val="0"/>
        </c:dLbls>
        <c:smooth val="0"/>
        <c:axId val="1683093871"/>
        <c:axId val="1393230671"/>
      </c:lineChart>
      <c:catAx>
        <c:axId val="16830938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393230671"/>
        <c:crosses val="autoZero"/>
        <c:auto val="1"/>
        <c:lblAlgn val="ctr"/>
        <c:lblOffset val="100"/>
        <c:noMultiLvlLbl val="0"/>
      </c:catAx>
      <c:valAx>
        <c:axId val="1393230671"/>
        <c:scaling>
          <c:orientation val="minMax"/>
        </c:scaling>
        <c:delete val="1"/>
        <c:axPos val="l"/>
        <c:numFmt formatCode="0.00%" sourceLinked="1"/>
        <c:majorTickMark val="none"/>
        <c:minorTickMark val="none"/>
        <c:tickLblPos val="nextTo"/>
        <c:crossAx val="16830938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[sales_data_pakistani.xlsm]Sheet2!PivotTable2</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Sheet2!$H$3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Sheet2!$G$4:$G$8</c:f>
              <c:strCache>
                <c:ptCount val="4"/>
                <c:pt idx="0">
                  <c:v>Adeel Hameed</c:v>
                </c:pt>
                <c:pt idx="1">
                  <c:v>Hassan Bhatti</c:v>
                </c:pt>
                <c:pt idx="2">
                  <c:v>Rizwan Siddiqui</c:v>
                </c:pt>
                <c:pt idx="3">
                  <c:v>Rukhsana Baig</c:v>
                </c:pt>
              </c:strCache>
            </c:strRef>
          </c:cat>
          <c:val>
            <c:numRef>
              <c:f>Sheet2!$H$4:$H$8</c:f>
              <c:numCache>
                <c:formatCode>0.00%</c:formatCode>
                <c:ptCount val="4"/>
                <c:pt idx="0">
                  <c:v>0.52600000000000002</c:v>
                </c:pt>
                <c:pt idx="1">
                  <c:v>0.46800000000000003</c:v>
                </c:pt>
                <c:pt idx="2">
                  <c:v>0.54600000000000004</c:v>
                </c:pt>
                <c:pt idx="3">
                  <c:v>0.65200000000000002</c:v>
                </c:pt>
              </c:numCache>
            </c:numRef>
          </c:val>
          <c:extLst>
            <c:ext xmlns:c16="http://schemas.microsoft.com/office/drawing/2014/chart" uri="{C3380CC4-5D6E-409C-BE32-E72D297353CC}">
              <c16:uniqueId val="{00000000-35C7-4AB3-A9F6-5EEB56D44CEA}"/>
            </c:ext>
          </c:extLst>
        </c:ser>
        <c:dLbls>
          <c:showLegendKey val="0"/>
          <c:showVal val="0"/>
          <c:showCatName val="0"/>
          <c:showSerName val="0"/>
          <c:showPercent val="0"/>
          <c:showBubbleSize val="0"/>
        </c:dLbls>
        <c:gapWidth val="219"/>
        <c:overlap val="-27"/>
        <c:axId val="1402173583"/>
        <c:axId val="1694003311"/>
      </c:barChart>
      <c:catAx>
        <c:axId val="1402173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694003311"/>
        <c:crosses val="autoZero"/>
        <c:auto val="1"/>
        <c:lblAlgn val="ctr"/>
        <c:lblOffset val="100"/>
        <c:noMultiLvlLbl val="0"/>
      </c:catAx>
      <c:valAx>
        <c:axId val="1694003311"/>
        <c:scaling>
          <c:orientation val="minMax"/>
        </c:scaling>
        <c:delete val="1"/>
        <c:axPos val="l"/>
        <c:numFmt formatCode="0.00%" sourceLinked="1"/>
        <c:majorTickMark val="none"/>
        <c:minorTickMark val="none"/>
        <c:tickLblPos val="nextTo"/>
        <c:crossAx val="14021735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B$1" lockText="1" noThreeD="1"/>
</file>

<file path=xl/ctrlProps/ctrlProp2.xml><?xml version="1.0" encoding="utf-8"?>
<formControlPr xmlns="http://schemas.microsoft.com/office/spreadsheetml/2009/9/main" objectType="CheckBox" checked="Checked" fmlaLink="$G$1" lockText="1" noThreeD="1"/>
</file>

<file path=xl/ctrlProps/ctrlProp3.xml><?xml version="1.0" encoding="utf-8"?>
<formControlPr xmlns="http://schemas.microsoft.com/office/spreadsheetml/2009/9/main" objectType="CheckBox" fmlaLink="$K$1" lockText="1" noThreeD="1"/>
</file>

<file path=xl/ctrlProps/ctrlProp4.xml><?xml version="1.0" encoding="utf-8"?>
<formControlPr xmlns="http://schemas.microsoft.com/office/spreadsheetml/2009/9/main" objectType="CheckBox" fmlaLink="$P$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63778</xdr:colOff>
      <xdr:row>11</xdr:row>
      <xdr:rowOff>133350</xdr:rowOff>
    </xdr:from>
    <xdr:to>
      <xdr:col>3</xdr:col>
      <xdr:colOff>780058</xdr:colOff>
      <xdr:row>26</xdr:row>
      <xdr:rowOff>133350</xdr:rowOff>
    </xdr:to>
    <xdr:graphicFrame macro="">
      <xdr:nvGraphicFramePr>
        <xdr:cNvPr id="4" name="Chart 3">
          <a:extLst>
            <a:ext uri="{FF2B5EF4-FFF2-40B4-BE49-F238E27FC236}">
              <a16:creationId xmlns:a16="http://schemas.microsoft.com/office/drawing/2014/main" id="{5BD7FEAF-082D-151C-42F1-194552AFB4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541020</xdr:colOff>
      <xdr:row>12</xdr:row>
      <xdr:rowOff>7620</xdr:rowOff>
    </xdr:from>
    <xdr:to>
      <xdr:col>12</xdr:col>
      <xdr:colOff>274320</xdr:colOff>
      <xdr:row>24</xdr:row>
      <xdr:rowOff>99060</xdr:rowOff>
    </xdr:to>
    <xdr:graphicFrame macro="">
      <xdr:nvGraphicFramePr>
        <xdr:cNvPr id="5" name="Chart 4">
          <a:extLst>
            <a:ext uri="{FF2B5EF4-FFF2-40B4-BE49-F238E27FC236}">
              <a16:creationId xmlns:a16="http://schemas.microsoft.com/office/drawing/2014/main" id="{BFC9000F-6B8B-AE1C-6CF7-6418CC7243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274471</xdr:colOff>
      <xdr:row>11</xdr:row>
      <xdr:rowOff>166735</xdr:rowOff>
    </xdr:from>
    <xdr:to>
      <xdr:col>19</xdr:col>
      <xdr:colOff>586891</xdr:colOff>
      <xdr:row>26</xdr:row>
      <xdr:rowOff>69485</xdr:rowOff>
    </xdr:to>
    <xdr:graphicFrame macro="">
      <xdr:nvGraphicFramePr>
        <xdr:cNvPr id="6" name="Chart 5">
          <a:extLst>
            <a:ext uri="{FF2B5EF4-FFF2-40B4-BE49-F238E27FC236}">
              <a16:creationId xmlns:a16="http://schemas.microsoft.com/office/drawing/2014/main" id="{999861F1-25D7-BD9B-FACF-3C584A985A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99060</xdr:colOff>
      <xdr:row>10</xdr:row>
      <xdr:rowOff>102870</xdr:rowOff>
    </xdr:from>
    <xdr:to>
      <xdr:col>9</xdr:col>
      <xdr:colOff>312420</xdr:colOff>
      <xdr:row>25</xdr:row>
      <xdr:rowOff>102870</xdr:rowOff>
    </xdr:to>
    <xdr:graphicFrame macro="">
      <xdr:nvGraphicFramePr>
        <xdr:cNvPr id="7" name="Chart 6">
          <a:extLst>
            <a:ext uri="{FF2B5EF4-FFF2-40B4-BE49-F238E27FC236}">
              <a16:creationId xmlns:a16="http://schemas.microsoft.com/office/drawing/2014/main" id="{50AECF48-7EAC-5E39-D120-E597EA5C56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0</xdr:row>
      <xdr:rowOff>136859</xdr:rowOff>
    </xdr:from>
    <xdr:to>
      <xdr:col>18</xdr:col>
      <xdr:colOff>107582</xdr:colOff>
      <xdr:row>0</xdr:row>
      <xdr:rowOff>571198</xdr:rowOff>
    </xdr:to>
    <mc:AlternateContent xmlns:mc="http://schemas.openxmlformats.org/markup-compatibility/2006">
      <mc:Choice xmlns:a14="http://schemas.microsoft.com/office/drawing/2010/main" Requires="a14">
        <xdr:graphicFrame macro="">
          <xdr:nvGraphicFramePr>
            <xdr:cNvPr id="8" name="Region">
              <a:extLst>
                <a:ext uri="{FF2B5EF4-FFF2-40B4-BE49-F238E27FC236}">
                  <a16:creationId xmlns:a16="http://schemas.microsoft.com/office/drawing/2014/main" id="{599B7057-280A-143E-62E3-0E48B2E78B3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136859"/>
              <a:ext cx="18489527" cy="434339"/>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60357</xdr:colOff>
      <xdr:row>0</xdr:row>
      <xdr:rowOff>641287</xdr:rowOff>
    </xdr:from>
    <xdr:to>
      <xdr:col>1</xdr:col>
      <xdr:colOff>1169407</xdr:colOff>
      <xdr:row>1</xdr:row>
      <xdr:rowOff>60357</xdr:rowOff>
    </xdr:to>
    <xdr:sp macro="[0]!SlicerConnection" textlink="">
      <xdr:nvSpPr>
        <xdr:cNvPr id="9" name="Flowchart: Alternate Process 8">
          <a:extLst>
            <a:ext uri="{FF2B5EF4-FFF2-40B4-BE49-F238E27FC236}">
              <a16:creationId xmlns:a16="http://schemas.microsoft.com/office/drawing/2014/main" id="{6AC3D808-596F-1F10-E749-2F5C335C1D79}"/>
            </a:ext>
          </a:extLst>
        </xdr:cNvPr>
        <xdr:cNvSpPr/>
      </xdr:nvSpPr>
      <xdr:spPr>
        <a:xfrm>
          <a:off x="1146773" y="641287"/>
          <a:ext cx="1109050" cy="430040"/>
        </a:xfrm>
        <a:prstGeom prst="flowChartAlternateProcess">
          <a:avLst/>
        </a:prstGeom>
        <a:solidFill>
          <a:schemeClr val="accent3">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15</xdr:col>
      <xdr:colOff>75445</xdr:colOff>
      <xdr:row>0</xdr:row>
      <xdr:rowOff>582440</xdr:rowOff>
    </xdr:from>
    <xdr:to>
      <xdr:col>15</xdr:col>
      <xdr:colOff>1229762</xdr:colOff>
      <xdr:row>1</xdr:row>
      <xdr:rowOff>37723</xdr:rowOff>
    </xdr:to>
    <xdr:sp macro="" textlink="">
      <xdr:nvSpPr>
        <xdr:cNvPr id="10" name="Flowchart: Alternate Process 9">
          <a:extLst>
            <a:ext uri="{FF2B5EF4-FFF2-40B4-BE49-F238E27FC236}">
              <a16:creationId xmlns:a16="http://schemas.microsoft.com/office/drawing/2014/main" id="{3DE104AF-E1F8-94E5-4D01-EBFCCB1BE41F}"/>
            </a:ext>
          </a:extLst>
        </xdr:cNvPr>
        <xdr:cNvSpPr/>
      </xdr:nvSpPr>
      <xdr:spPr>
        <a:xfrm>
          <a:off x="15368257" y="582440"/>
          <a:ext cx="1154317" cy="466253"/>
        </a:xfrm>
        <a:prstGeom prst="flowChartAlternateProcess">
          <a:avLst/>
        </a:prstGeom>
        <a:solidFill>
          <a:schemeClr val="accent3">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10</xdr:col>
      <xdr:colOff>83610</xdr:colOff>
      <xdr:row>0</xdr:row>
      <xdr:rowOff>621671</xdr:rowOff>
    </xdr:from>
    <xdr:to>
      <xdr:col>10</xdr:col>
      <xdr:colOff>1040637</xdr:colOff>
      <xdr:row>1</xdr:row>
      <xdr:rowOff>67901</xdr:rowOff>
    </xdr:to>
    <xdr:sp macro="" textlink="">
      <xdr:nvSpPr>
        <xdr:cNvPr id="11" name="Flowchart: Alternate Process 10">
          <a:extLst>
            <a:ext uri="{FF2B5EF4-FFF2-40B4-BE49-F238E27FC236}">
              <a16:creationId xmlns:a16="http://schemas.microsoft.com/office/drawing/2014/main" id="{77AACD6C-C6BE-49BD-AE4D-DEF35E159F2D}"/>
            </a:ext>
          </a:extLst>
        </xdr:cNvPr>
        <xdr:cNvSpPr/>
      </xdr:nvSpPr>
      <xdr:spPr>
        <a:xfrm>
          <a:off x="10574158" y="621671"/>
          <a:ext cx="957027" cy="458751"/>
        </a:xfrm>
        <a:prstGeom prst="flowChartAlternateProcess">
          <a:avLst/>
        </a:prstGeom>
        <a:solidFill>
          <a:schemeClr val="accent3">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6</xdr:col>
      <xdr:colOff>36586</xdr:colOff>
      <xdr:row>0</xdr:row>
      <xdr:rowOff>597653</xdr:rowOff>
    </xdr:from>
    <xdr:to>
      <xdr:col>6</xdr:col>
      <xdr:colOff>1054275</xdr:colOff>
      <xdr:row>1</xdr:row>
      <xdr:rowOff>49919</xdr:rowOff>
    </xdr:to>
    <xdr:sp macro="[0]!SlicerConnection" textlink="">
      <xdr:nvSpPr>
        <xdr:cNvPr id="12" name="Flowchart: Alternate Process 11">
          <a:extLst>
            <a:ext uri="{FF2B5EF4-FFF2-40B4-BE49-F238E27FC236}">
              <a16:creationId xmlns:a16="http://schemas.microsoft.com/office/drawing/2014/main" id="{38F5E43A-02A7-71E2-EB10-ED4A1721CE9F}"/>
            </a:ext>
          </a:extLst>
        </xdr:cNvPr>
        <xdr:cNvSpPr/>
      </xdr:nvSpPr>
      <xdr:spPr>
        <a:xfrm>
          <a:off x="6946778" y="597653"/>
          <a:ext cx="1017689" cy="464787"/>
        </a:xfrm>
        <a:prstGeom prst="flowChartAlternateProcess">
          <a:avLst/>
        </a:prstGeom>
        <a:solidFill>
          <a:schemeClr val="accent3">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mc:AlternateContent xmlns:mc="http://schemas.openxmlformats.org/markup-compatibility/2006">
    <mc:Choice xmlns:a14="http://schemas.microsoft.com/office/drawing/2010/main" Requires="a14">
      <xdr:twoCellAnchor editAs="oneCell">
        <xdr:from>
          <xdr:col>1</xdr:col>
          <xdr:colOff>205740</xdr:colOff>
          <xdr:row>0</xdr:row>
          <xdr:rowOff>769620</xdr:rowOff>
        </xdr:from>
        <xdr:to>
          <xdr:col>2</xdr:col>
          <xdr:colOff>341299</xdr:colOff>
          <xdr:row>0</xdr:row>
          <xdr:rowOff>990600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PK" sz="800" b="0" i="0" u="none" strike="noStrike" baseline="0">
                  <a:solidFill>
                    <a:srgbClr val="000000"/>
                  </a:solidFill>
                  <a:latin typeface="Segoe UI"/>
                  <a:cs typeface="Segoe UI"/>
                </a:rPr>
                <a:t>Dashboard 1                 Check Box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0</xdr:row>
          <xdr:rowOff>754380</xdr:rowOff>
        </xdr:from>
        <xdr:to>
          <xdr:col>7</xdr:col>
          <xdr:colOff>286230</xdr:colOff>
          <xdr:row>0</xdr:row>
          <xdr:rowOff>975360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PK" sz="800" b="0" i="0" u="none" strike="noStrike" baseline="0">
                  <a:solidFill>
                    <a:srgbClr val="000000"/>
                  </a:solidFill>
                  <a:latin typeface="Segoe UI"/>
                  <a:cs typeface="Segoe UI"/>
                </a:rPr>
                <a:t>     Dashboard 2                  heck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220980</xdr:colOff>
          <xdr:row>0</xdr:row>
          <xdr:rowOff>754380</xdr:rowOff>
        </xdr:from>
        <xdr:to>
          <xdr:col>11</xdr:col>
          <xdr:colOff>438630</xdr:colOff>
          <xdr:row>1</xdr:row>
          <xdr:rowOff>15240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PK" sz="800" b="0" i="0" u="none" strike="noStrike" baseline="0">
                  <a:solidFill>
                    <a:srgbClr val="000000"/>
                  </a:solidFill>
                  <a:latin typeface="Segoe UI"/>
                  <a:cs typeface="Segoe UI"/>
                </a:rPr>
                <a:t>   Dashboard 3                Check Box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182880</xdr:colOff>
          <xdr:row>0</xdr:row>
          <xdr:rowOff>716280</xdr:rowOff>
        </xdr:from>
        <xdr:to>
          <xdr:col>16</xdr:col>
          <xdr:colOff>407455</xdr:colOff>
          <xdr:row>1</xdr:row>
          <xdr:rowOff>22860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PK" sz="800" b="0" i="0" u="none" strike="noStrike" baseline="0">
                  <a:solidFill>
                    <a:srgbClr val="000000"/>
                  </a:solidFill>
                  <a:latin typeface="Segoe UI"/>
                  <a:cs typeface="Segoe UI"/>
                </a:rPr>
                <a:t>     Dashboard 4              Check Box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eeba" refreshedDate="46278.778631018518" createdVersion="8" refreshedVersion="8" minRefreshableVersion="3" recordCount="70" xr:uid="{9AFF5A5A-83A0-4CE8-A8CB-BAC602A0BC19}">
  <cacheSource type="worksheet">
    <worksheetSource ref="A1:L71" sheet="Sheet1"/>
  </cacheSource>
  <cacheFields count="12">
    <cacheField name="Emp Code" numFmtId="0">
      <sharedItems/>
    </cacheField>
    <cacheField name="Sales Executive" numFmtId="0">
      <sharedItems count="70">
        <s v="Imran Khan"/>
        <s v="Umair Hameed"/>
        <s v="Hamza Farooq"/>
        <s v="Salman Zafar"/>
        <s v="Junaid Nawaz"/>
        <s v="Adnan Farooq"/>
        <s v="Nabila Chaudhry"/>
        <s v="Rukhsana Baig"/>
        <s v="Wajiha Chaudhry"/>
        <s v="Sohail Abbasi"/>
        <s v="Tahir Saleem"/>
        <s v="Junaid Akhtar"/>
        <s v="Anum Yousaf"/>
        <s v="Tahir Akhtar"/>
        <s v="Tania Malik"/>
        <s v="Sidra Hameed"/>
        <s v="Aisha Zafar"/>
        <s v="Mehwish Bhatti"/>
        <s v="Asif Ahmed"/>
        <s v="Tahir Iqbal"/>
        <s v="Saima Awan"/>
        <s v="Imran Javed"/>
        <s v="Amna Iqbal"/>
        <s v="Aisha Ch. Rasheed"/>
        <s v="Adnan Chaudhry"/>
        <s v="Uzma Khan"/>
        <s v="Sumaira Siddiqui"/>
        <s v="Kashif Ahmed"/>
        <s v="Wajiha Hashmi"/>
        <s v="Saad Baig"/>
        <s v="Imran Sheikh"/>
        <s v="Asif Siddiqui"/>
        <s v="Hassan Hameed"/>
        <s v="Yasir Gill"/>
        <s v="Rizwan Nawaz"/>
        <s v="Amna Chaudhry"/>
        <s v="Shoaib Ch. Rasheed"/>
        <s v="Tariq Bhatti"/>
        <s v="Rizwan Aslam"/>
        <s v="Anum Saleem"/>
        <s v="Sobia Farooq"/>
        <s v="Zeeshan Rehman"/>
        <s v="Salman Gill"/>
        <s v="Umair Bhatti"/>
        <s v="Iqra Rehman"/>
        <s v="Shahzad Butt"/>
        <s v="Rizwan Siddiqui"/>
        <s v="Bushra Siddiqui"/>
        <s v="Sana Sheikh"/>
        <s v="Nadia Qureshi"/>
        <s v="Hassan Bhatti"/>
        <s v="Rizwan Chaudhry"/>
        <s v="Farah Zafar"/>
        <s v="Yasir Ch. Rasheed"/>
        <s v="Junaid Abbasi"/>
        <s v="Nabila Raza"/>
        <s v="Amna Saleem"/>
        <s v="Zeeshan Iqbal"/>
        <s v="Adeel Hameed"/>
        <s v="Adnan Mirza"/>
        <s v="Fatima Farooq"/>
        <s v="Mehwish Hameed"/>
        <s v="Farah Iqbal"/>
        <s v="Yasir Aslam"/>
        <s v="Wajiha Malik"/>
        <s v="Tania Nawaz"/>
        <s v="Ayesha Raza"/>
        <s v="Nasir Saleem"/>
        <s v="Bushra Raza"/>
        <s v="Aliya Qureshi"/>
      </sharedItems>
    </cacheField>
    <cacheField name="Region" numFmtId="0">
      <sharedItems count="15">
        <s v="Hyderabad"/>
        <s v="Lahore"/>
        <s v="Faisalabad"/>
        <s v="Gujranwala"/>
        <s v="Rawalpindi"/>
        <s v="Multan"/>
        <s v="Karachi"/>
        <s v="Larkana"/>
        <s v="Quetta"/>
        <s v="Islamabad"/>
        <s v="Bahawalpur"/>
        <s v="Peshawar"/>
        <s v="Sialkot"/>
        <s v="Sargodha"/>
        <s v="Sukkur"/>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0" maxValue="93"/>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0" maxValue="99"/>
    </cacheField>
    <cacheField name="Day5" numFmtId="0">
      <sharedItems containsSemiMixedTypes="0" containsString="0" containsNumber="1" containsInteger="1" minValue="10" maxValue="97"/>
    </cacheField>
    <cacheField name="Total Sales" numFmtId="0">
      <sharedItems containsSemiMixedTypes="0" containsString="0" containsNumber="1" containsInteger="1" minValue="148" maxValue="390"/>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9599999999999999" maxValue="0.78"/>
    </cacheField>
    <cacheField name="Away From Target %" numFmtId="10">
      <sharedItems containsSemiMixedTypes="0" containsString="0" containsNumber="1" minValue="0.21999999999999997" maxValue="0.70399999999999996"/>
    </cacheField>
  </cacheFields>
  <extLst>
    <ext xmlns:x14="http://schemas.microsoft.com/office/spreadsheetml/2009/9/main" uri="{725AE2AE-9491-48be-B2B4-4EB974FC3084}">
      <x14:pivotCacheDefinition pivotCacheId="16169515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
  <r>
    <s v="Hyd-TCL001"/>
    <x v="0"/>
    <x v="0"/>
    <n v="45"/>
    <n v="41"/>
    <n v="38"/>
    <n v="27"/>
    <n v="23"/>
    <n v="174"/>
    <n v="500"/>
    <n v="0.34799999999999998"/>
    <n v="0.65200000000000002"/>
  </r>
  <r>
    <s v="Hyd-TCL002"/>
    <x v="1"/>
    <x v="0"/>
    <n v="79"/>
    <n v="21"/>
    <n v="85"/>
    <n v="64"/>
    <n v="14"/>
    <n v="263"/>
    <n v="500"/>
    <n v="0.52600000000000002"/>
    <n v="0.47399999999999998"/>
  </r>
  <r>
    <s v="Lhr-TCL001"/>
    <x v="2"/>
    <x v="1"/>
    <n v="39"/>
    <n v="74"/>
    <n v="87"/>
    <n v="13"/>
    <n v="81"/>
    <n v="294"/>
    <n v="500"/>
    <n v="0.58799999999999997"/>
    <n v="0.41200000000000003"/>
  </r>
  <r>
    <s v="Fsd-TCL001"/>
    <x v="3"/>
    <x v="2"/>
    <n v="99"/>
    <n v="79"/>
    <n v="63"/>
    <n v="38"/>
    <n v="67"/>
    <n v="346"/>
    <n v="500"/>
    <n v="0.69199999999999995"/>
    <n v="0.30800000000000005"/>
  </r>
  <r>
    <s v="Guj-TCL001"/>
    <x v="4"/>
    <x v="3"/>
    <n v="10"/>
    <n v="30"/>
    <n v="99"/>
    <n v="64"/>
    <n v="53"/>
    <n v="256"/>
    <n v="500"/>
    <n v="0.51200000000000001"/>
    <n v="0.48799999999999999"/>
  </r>
  <r>
    <s v="Rwp-TCL001"/>
    <x v="5"/>
    <x v="4"/>
    <n v="53"/>
    <n v="23"/>
    <n v="21"/>
    <n v="58"/>
    <n v="22"/>
    <n v="177"/>
    <n v="500"/>
    <n v="0.35399999999999998"/>
    <n v="0.64600000000000002"/>
  </r>
  <r>
    <s v="Mul-TCL001"/>
    <x v="6"/>
    <x v="5"/>
    <n v="87"/>
    <n v="43"/>
    <n v="15"/>
    <n v="68"/>
    <n v="78"/>
    <n v="291"/>
    <n v="500"/>
    <n v="0.58199999999999996"/>
    <n v="0.41800000000000004"/>
  </r>
  <r>
    <s v="Khi-TCL001"/>
    <x v="7"/>
    <x v="6"/>
    <n v="20"/>
    <n v="80"/>
    <n v="47"/>
    <n v="90"/>
    <n v="89"/>
    <n v="326"/>
    <n v="500"/>
    <n v="0.65200000000000002"/>
    <n v="0.34799999999999998"/>
  </r>
  <r>
    <s v="Lrk-TCL001"/>
    <x v="8"/>
    <x v="7"/>
    <n v="83"/>
    <n v="34"/>
    <n v="18"/>
    <n v="15"/>
    <n v="94"/>
    <n v="244"/>
    <n v="500"/>
    <n v="0.48799999999999999"/>
    <n v="0.51200000000000001"/>
  </r>
  <r>
    <s v="Fsd-TCL002"/>
    <x v="9"/>
    <x v="2"/>
    <n v="20"/>
    <n v="39"/>
    <n v="22"/>
    <n v="58"/>
    <n v="45"/>
    <n v="184"/>
    <n v="500"/>
    <n v="0.36799999999999999"/>
    <n v="0.63200000000000001"/>
  </r>
  <r>
    <s v="Que-TCL001"/>
    <x v="10"/>
    <x v="8"/>
    <n v="56"/>
    <n v="30"/>
    <n v="57"/>
    <n v="55"/>
    <n v="36"/>
    <n v="234"/>
    <n v="500"/>
    <n v="0.46800000000000003"/>
    <n v="0.53200000000000003"/>
  </r>
  <r>
    <s v="Hyd-TCL003"/>
    <x v="11"/>
    <x v="0"/>
    <n v="97"/>
    <n v="92"/>
    <n v="19"/>
    <n v="87"/>
    <n v="91"/>
    <n v="386"/>
    <n v="500"/>
    <n v="0.77200000000000002"/>
    <n v="0.22799999999999998"/>
  </r>
  <r>
    <s v="Isl-TCL001"/>
    <x v="12"/>
    <x v="9"/>
    <n v="41"/>
    <n v="30"/>
    <n v="69"/>
    <n v="58"/>
    <n v="44"/>
    <n v="242"/>
    <n v="500"/>
    <n v="0.48399999999999999"/>
    <n v="0.51600000000000001"/>
  </r>
  <r>
    <s v="Lrk-TCL002"/>
    <x v="13"/>
    <x v="7"/>
    <n v="81"/>
    <n v="38"/>
    <n v="97"/>
    <n v="51"/>
    <n v="17"/>
    <n v="284"/>
    <n v="500"/>
    <n v="0.56799999999999995"/>
    <n v="0.43200000000000005"/>
  </r>
  <r>
    <s v="Fsd-TCL003"/>
    <x v="14"/>
    <x v="2"/>
    <n v="50"/>
    <n v="61"/>
    <n v="44"/>
    <n v="18"/>
    <n v="37"/>
    <n v="210"/>
    <n v="500"/>
    <n v="0.42"/>
    <n v="0.58000000000000007"/>
  </r>
  <r>
    <s v="Lrk-TCL003"/>
    <x v="15"/>
    <x v="7"/>
    <n v="50"/>
    <n v="37"/>
    <n v="93"/>
    <n v="73"/>
    <n v="60"/>
    <n v="313"/>
    <n v="500"/>
    <n v="0.626"/>
    <n v="0.374"/>
  </r>
  <r>
    <s v="Lrk-TCL004"/>
    <x v="16"/>
    <x v="7"/>
    <n v="68"/>
    <n v="28"/>
    <n v="43"/>
    <n v="27"/>
    <n v="41"/>
    <n v="207"/>
    <n v="500"/>
    <n v="0.41399999999999998"/>
    <n v="0.58600000000000008"/>
  </r>
  <r>
    <s v="Bwp-TCL001"/>
    <x v="17"/>
    <x v="10"/>
    <n v="43"/>
    <n v="84"/>
    <n v="64"/>
    <n v="84"/>
    <n v="61"/>
    <n v="336"/>
    <n v="500"/>
    <n v="0.67200000000000004"/>
    <n v="0.32799999999999996"/>
  </r>
  <r>
    <s v="Mul-TCL002"/>
    <x v="18"/>
    <x v="5"/>
    <n v="75"/>
    <n v="73"/>
    <n v="21"/>
    <n v="16"/>
    <n v="24"/>
    <n v="209"/>
    <n v="500"/>
    <n v="0.41799999999999998"/>
    <n v="0.58200000000000007"/>
  </r>
  <r>
    <s v="Isl-TCL002"/>
    <x v="19"/>
    <x v="9"/>
    <n v="97"/>
    <n v="64"/>
    <n v="86"/>
    <n v="18"/>
    <n v="59"/>
    <n v="324"/>
    <n v="500"/>
    <n v="0.64800000000000002"/>
    <n v="0.35199999999999998"/>
  </r>
  <r>
    <s v="Pes-TCL001"/>
    <x v="20"/>
    <x v="11"/>
    <n v="77"/>
    <n v="42"/>
    <n v="80"/>
    <n v="11"/>
    <n v="97"/>
    <n v="307"/>
    <n v="500"/>
    <n v="0.61399999999999999"/>
    <n v="0.38600000000000001"/>
  </r>
  <r>
    <s v="Bwp-TCL002"/>
    <x v="21"/>
    <x v="10"/>
    <n v="78"/>
    <n v="44"/>
    <n v="92"/>
    <n v="53"/>
    <n v="24"/>
    <n v="291"/>
    <n v="500"/>
    <n v="0.58199999999999996"/>
    <n v="0.41800000000000004"/>
  </r>
  <r>
    <s v="Rwp-TCL002"/>
    <x v="22"/>
    <x v="4"/>
    <n v="68"/>
    <n v="10"/>
    <n v="43"/>
    <n v="74"/>
    <n v="32"/>
    <n v="227"/>
    <n v="500"/>
    <n v="0.45400000000000001"/>
    <n v="0.54600000000000004"/>
  </r>
  <r>
    <s v="Sia-TCL001"/>
    <x v="23"/>
    <x v="12"/>
    <n v="90"/>
    <n v="48"/>
    <n v="91"/>
    <n v="74"/>
    <n v="87"/>
    <n v="390"/>
    <n v="500"/>
    <n v="0.78"/>
    <n v="0.21999999999999997"/>
  </r>
  <r>
    <s v="Fsd-TCL004"/>
    <x v="24"/>
    <x v="2"/>
    <n v="30"/>
    <n v="79"/>
    <n v="77"/>
    <n v="10"/>
    <n v="86"/>
    <n v="282"/>
    <n v="500"/>
    <n v="0.56399999999999995"/>
    <n v="0.43600000000000005"/>
  </r>
  <r>
    <s v="Mul-TCL003"/>
    <x v="25"/>
    <x v="5"/>
    <n v="24"/>
    <n v="56"/>
    <n v="49"/>
    <n v="40"/>
    <n v="17"/>
    <n v="186"/>
    <n v="500"/>
    <n v="0.372"/>
    <n v="0.628"/>
  </r>
  <r>
    <s v="Fsd-TCL005"/>
    <x v="26"/>
    <x v="2"/>
    <n v="20"/>
    <n v="20"/>
    <n v="72"/>
    <n v="18"/>
    <n v="78"/>
    <n v="208"/>
    <n v="500"/>
    <n v="0.41599999999999998"/>
    <n v="0.58400000000000007"/>
  </r>
  <r>
    <s v="Sgd-TCL001"/>
    <x v="27"/>
    <x v="13"/>
    <n v="94"/>
    <n v="70"/>
    <n v="80"/>
    <n v="31"/>
    <n v="43"/>
    <n v="318"/>
    <n v="500"/>
    <n v="0.63600000000000001"/>
    <n v="0.36399999999999999"/>
  </r>
  <r>
    <s v="Sia-TCL002"/>
    <x v="28"/>
    <x v="12"/>
    <n v="64"/>
    <n v="37"/>
    <n v="79"/>
    <n v="98"/>
    <n v="35"/>
    <n v="313"/>
    <n v="500"/>
    <n v="0.626"/>
    <n v="0.374"/>
  </r>
  <r>
    <s v="Bwp-TCL003"/>
    <x v="29"/>
    <x v="10"/>
    <n v="95"/>
    <n v="93"/>
    <n v="57"/>
    <n v="66"/>
    <n v="76"/>
    <n v="387"/>
    <n v="500"/>
    <n v="0.77400000000000002"/>
    <n v="0.22599999999999998"/>
  </r>
  <r>
    <s v="Que-TCL002"/>
    <x v="30"/>
    <x v="8"/>
    <n v="38"/>
    <n v="18"/>
    <n v="53"/>
    <n v="12"/>
    <n v="85"/>
    <n v="206"/>
    <n v="500"/>
    <n v="0.41199999999999998"/>
    <n v="0.58800000000000008"/>
  </r>
  <r>
    <s v="Sia-TCL003"/>
    <x v="31"/>
    <x v="12"/>
    <n v="38"/>
    <n v="10"/>
    <n v="19"/>
    <n v="90"/>
    <n v="17"/>
    <n v="174"/>
    <n v="500"/>
    <n v="0.34799999999999998"/>
    <n v="0.65200000000000002"/>
  </r>
  <r>
    <s v="Fsd-TCL006"/>
    <x v="32"/>
    <x v="2"/>
    <n v="14"/>
    <n v="52"/>
    <n v="19"/>
    <n v="75"/>
    <n v="40"/>
    <n v="200"/>
    <n v="500"/>
    <n v="0.4"/>
    <n v="0.6"/>
  </r>
  <r>
    <s v="Rwp-TCL003"/>
    <x v="33"/>
    <x v="4"/>
    <n v="37"/>
    <n v="79"/>
    <n v="26"/>
    <n v="83"/>
    <n v="83"/>
    <n v="308"/>
    <n v="500"/>
    <n v="0.61599999999999999"/>
    <n v="0.38400000000000001"/>
  </r>
  <r>
    <s v="Que-TCL003"/>
    <x v="34"/>
    <x v="8"/>
    <n v="70"/>
    <n v="62"/>
    <n v="34"/>
    <n v="22"/>
    <n v="22"/>
    <n v="210"/>
    <n v="500"/>
    <n v="0.42"/>
    <n v="0.58000000000000007"/>
  </r>
  <r>
    <s v="Hyd-TCL004"/>
    <x v="35"/>
    <x v="0"/>
    <n v="64"/>
    <n v="62"/>
    <n v="69"/>
    <n v="16"/>
    <n v="96"/>
    <n v="307"/>
    <n v="500"/>
    <n v="0.61399999999999999"/>
    <n v="0.38600000000000001"/>
  </r>
  <r>
    <s v="Hyd-TCL005"/>
    <x v="36"/>
    <x v="0"/>
    <n v="17"/>
    <n v="61"/>
    <n v="53"/>
    <n v="23"/>
    <n v="41"/>
    <n v="195"/>
    <n v="500"/>
    <n v="0.39"/>
    <n v="0.61"/>
  </r>
  <r>
    <s v="Fsd-TCL007"/>
    <x v="37"/>
    <x v="2"/>
    <n v="67"/>
    <n v="27"/>
    <n v="64"/>
    <n v="33"/>
    <n v="45"/>
    <n v="236"/>
    <n v="500"/>
    <n v="0.47199999999999998"/>
    <n v="0.52800000000000002"/>
  </r>
  <r>
    <s v="Que-TCL004"/>
    <x v="38"/>
    <x v="8"/>
    <n v="19"/>
    <n v="66"/>
    <n v="80"/>
    <n v="22"/>
    <n v="16"/>
    <n v="203"/>
    <n v="500"/>
    <n v="0.40600000000000003"/>
    <n v="0.59399999999999997"/>
  </r>
  <r>
    <s v="Hyd-TCL006"/>
    <x v="39"/>
    <x v="0"/>
    <n v="11"/>
    <n v="21"/>
    <n v="40"/>
    <n v="31"/>
    <n v="62"/>
    <n v="165"/>
    <n v="500"/>
    <n v="0.33"/>
    <n v="0.66999999999999993"/>
  </r>
  <r>
    <s v="Que-TCL005"/>
    <x v="40"/>
    <x v="8"/>
    <n v="61"/>
    <n v="17"/>
    <n v="31"/>
    <n v="58"/>
    <n v="10"/>
    <n v="177"/>
    <n v="500"/>
    <n v="0.35399999999999998"/>
    <n v="0.64600000000000002"/>
  </r>
  <r>
    <s v="Pes-TCL002"/>
    <x v="41"/>
    <x v="11"/>
    <n v="68"/>
    <n v="46"/>
    <n v="64"/>
    <n v="99"/>
    <n v="81"/>
    <n v="358"/>
    <n v="500"/>
    <n v="0.71599999999999997"/>
    <n v="0.28400000000000003"/>
  </r>
  <r>
    <s v="Hyd-TCL007"/>
    <x v="42"/>
    <x v="0"/>
    <n v="29"/>
    <n v="34"/>
    <n v="47"/>
    <n v="37"/>
    <n v="17"/>
    <n v="164"/>
    <n v="500"/>
    <n v="0.32800000000000001"/>
    <n v="0.67199999999999993"/>
  </r>
  <r>
    <s v="Guj-TCL002"/>
    <x v="43"/>
    <x v="3"/>
    <n v="17"/>
    <n v="50"/>
    <n v="17"/>
    <n v="16"/>
    <n v="84"/>
    <n v="184"/>
    <n v="500"/>
    <n v="0.36799999999999999"/>
    <n v="0.63200000000000001"/>
  </r>
  <r>
    <s v="Que-TCL006"/>
    <x v="44"/>
    <x v="8"/>
    <n v="77"/>
    <n v="30"/>
    <n v="17"/>
    <n v="75"/>
    <n v="20"/>
    <n v="219"/>
    <n v="500"/>
    <n v="0.438"/>
    <n v="0.56200000000000006"/>
  </r>
  <r>
    <s v="Suk-TCL001"/>
    <x v="45"/>
    <x v="14"/>
    <n v="86"/>
    <n v="18"/>
    <n v="96"/>
    <n v="40"/>
    <n v="61"/>
    <n v="301"/>
    <n v="500"/>
    <n v="0.60199999999999998"/>
    <n v="0.39800000000000002"/>
  </r>
  <r>
    <s v="Khi-TCL002"/>
    <x v="46"/>
    <x v="6"/>
    <n v="86"/>
    <n v="15"/>
    <n v="89"/>
    <n v="20"/>
    <n v="63"/>
    <n v="273"/>
    <n v="500"/>
    <n v="0.54600000000000004"/>
    <n v="0.45399999999999996"/>
  </r>
  <r>
    <s v="Hyd-TCL008"/>
    <x v="47"/>
    <x v="0"/>
    <n v="76"/>
    <n v="50"/>
    <n v="43"/>
    <n v="36"/>
    <n v="95"/>
    <n v="300"/>
    <n v="500"/>
    <n v="0.6"/>
    <n v="0.4"/>
  </r>
  <r>
    <s v="Bwp-TCL004"/>
    <x v="48"/>
    <x v="10"/>
    <n v="43"/>
    <n v="60"/>
    <n v="26"/>
    <n v="95"/>
    <n v="92"/>
    <n v="316"/>
    <n v="500"/>
    <n v="0.63200000000000001"/>
    <n v="0.36799999999999999"/>
  </r>
  <r>
    <s v="Rwp-TCL004"/>
    <x v="49"/>
    <x v="4"/>
    <n v="19"/>
    <n v="11"/>
    <n v="68"/>
    <n v="89"/>
    <n v="82"/>
    <n v="269"/>
    <n v="500"/>
    <n v="0.53800000000000003"/>
    <n v="0.46199999999999997"/>
  </r>
  <r>
    <s v="Khi-TCL003"/>
    <x v="50"/>
    <x v="6"/>
    <n v="37"/>
    <n v="74"/>
    <n v="43"/>
    <n v="26"/>
    <n v="54"/>
    <n v="234"/>
    <n v="500"/>
    <n v="0.46800000000000003"/>
    <n v="0.53200000000000003"/>
  </r>
  <r>
    <s v="Lrk-TCL005"/>
    <x v="51"/>
    <x v="7"/>
    <n v="46"/>
    <n v="30"/>
    <n v="66"/>
    <n v="79"/>
    <n v="48"/>
    <n v="269"/>
    <n v="500"/>
    <n v="0.53800000000000003"/>
    <n v="0.46199999999999997"/>
  </r>
  <r>
    <s v="Guj-TCL003"/>
    <x v="52"/>
    <x v="3"/>
    <n v="77"/>
    <n v="11"/>
    <n v="95"/>
    <n v="80"/>
    <n v="48"/>
    <n v="311"/>
    <n v="500"/>
    <n v="0.622"/>
    <n v="0.378"/>
  </r>
  <r>
    <s v="Lrk-TCL006"/>
    <x v="53"/>
    <x v="7"/>
    <n v="27"/>
    <n v="43"/>
    <n v="24"/>
    <n v="23"/>
    <n v="80"/>
    <n v="197"/>
    <n v="500"/>
    <n v="0.39400000000000002"/>
    <n v="0.60599999999999998"/>
  </r>
  <r>
    <s v="Isl-TCL003"/>
    <x v="54"/>
    <x v="9"/>
    <n v="87"/>
    <n v="36"/>
    <n v="53"/>
    <n v="36"/>
    <n v="97"/>
    <n v="309"/>
    <n v="500"/>
    <n v="0.61799999999999999"/>
    <n v="0.38200000000000001"/>
  </r>
  <r>
    <s v="Hyd-TCL009"/>
    <x v="55"/>
    <x v="0"/>
    <n v="74"/>
    <n v="72"/>
    <n v="42"/>
    <n v="16"/>
    <n v="21"/>
    <n v="225"/>
    <n v="500"/>
    <n v="0.45"/>
    <n v="0.55000000000000004"/>
  </r>
  <r>
    <s v="Hyd-TCL010"/>
    <x v="56"/>
    <x v="0"/>
    <n v="45"/>
    <n v="15"/>
    <n v="10"/>
    <n v="52"/>
    <n v="26"/>
    <n v="148"/>
    <n v="500"/>
    <n v="0.29599999999999999"/>
    <n v="0.70399999999999996"/>
  </r>
  <r>
    <s v="Hyd-TCL011"/>
    <x v="57"/>
    <x v="0"/>
    <n v="66"/>
    <n v="80"/>
    <n v="64"/>
    <n v="81"/>
    <n v="11"/>
    <n v="302"/>
    <n v="500"/>
    <n v="0.60399999999999998"/>
    <n v="0.39600000000000002"/>
  </r>
  <r>
    <s v="Khi-TCL004"/>
    <x v="58"/>
    <x v="6"/>
    <n v="29"/>
    <n v="79"/>
    <n v="14"/>
    <n v="57"/>
    <n v="84"/>
    <n v="263"/>
    <n v="500"/>
    <n v="0.52600000000000002"/>
    <n v="0.47399999999999998"/>
  </r>
  <r>
    <s v="Sia-TCL004"/>
    <x v="59"/>
    <x v="12"/>
    <n v="26"/>
    <n v="15"/>
    <n v="49"/>
    <n v="56"/>
    <n v="15"/>
    <n v="161"/>
    <n v="500"/>
    <n v="0.32200000000000001"/>
    <n v="0.67799999999999994"/>
  </r>
  <r>
    <s v="Lrk-TCL007"/>
    <x v="60"/>
    <x v="7"/>
    <n v="97"/>
    <n v="41"/>
    <n v="95"/>
    <n v="23"/>
    <n v="55"/>
    <n v="311"/>
    <n v="500"/>
    <n v="0.622"/>
    <n v="0.378"/>
  </r>
  <r>
    <s v="Sgd-TCL002"/>
    <x v="61"/>
    <x v="13"/>
    <n v="62"/>
    <n v="89"/>
    <n v="29"/>
    <n v="40"/>
    <n v="30"/>
    <n v="250"/>
    <n v="500"/>
    <n v="0.5"/>
    <n v="0.5"/>
  </r>
  <r>
    <s v="Sgd-TCL003"/>
    <x v="62"/>
    <x v="13"/>
    <n v="62"/>
    <n v="13"/>
    <n v="32"/>
    <n v="52"/>
    <n v="62"/>
    <n v="221"/>
    <n v="500"/>
    <n v="0.442"/>
    <n v="0.55800000000000005"/>
  </r>
  <r>
    <s v="Sgd-TCL004"/>
    <x v="63"/>
    <x v="13"/>
    <n v="41"/>
    <n v="44"/>
    <n v="30"/>
    <n v="99"/>
    <n v="23"/>
    <n v="237"/>
    <n v="500"/>
    <n v="0.47399999999999998"/>
    <n v="0.52600000000000002"/>
  </r>
  <r>
    <s v="Pes-TCL003"/>
    <x v="64"/>
    <x v="11"/>
    <n v="70"/>
    <n v="38"/>
    <n v="35"/>
    <n v="68"/>
    <n v="54"/>
    <n v="265"/>
    <n v="500"/>
    <n v="0.53"/>
    <n v="0.47"/>
  </r>
  <r>
    <s v="Rwp-TCL005"/>
    <x v="65"/>
    <x v="4"/>
    <n v="39"/>
    <n v="38"/>
    <n v="13"/>
    <n v="94"/>
    <n v="34"/>
    <n v="218"/>
    <n v="500"/>
    <n v="0.436"/>
    <n v="0.56400000000000006"/>
  </r>
  <r>
    <s v="Pes-TCL004"/>
    <x v="66"/>
    <x v="11"/>
    <n v="18"/>
    <n v="45"/>
    <n v="54"/>
    <n v="92"/>
    <n v="75"/>
    <n v="284"/>
    <n v="500"/>
    <n v="0.56799999999999995"/>
    <n v="0.43200000000000005"/>
  </r>
  <r>
    <s v="Pes-TCL005"/>
    <x v="67"/>
    <x v="11"/>
    <n v="78"/>
    <n v="52"/>
    <n v="13"/>
    <n v="24"/>
    <n v="43"/>
    <n v="210"/>
    <n v="500"/>
    <n v="0.42"/>
    <n v="0.58000000000000007"/>
  </r>
  <r>
    <s v="Isl-TCL004"/>
    <x v="68"/>
    <x v="9"/>
    <n v="14"/>
    <n v="23"/>
    <n v="86"/>
    <n v="65"/>
    <n v="54"/>
    <n v="242"/>
    <n v="500"/>
    <n v="0.48399999999999999"/>
    <n v="0.51600000000000001"/>
  </r>
  <r>
    <s v="Bwp-TCL005"/>
    <x v="69"/>
    <x v="10"/>
    <n v="65"/>
    <n v="87"/>
    <n v="75"/>
    <n v="24"/>
    <n v="59"/>
    <n v="310"/>
    <n v="500"/>
    <n v="0.62"/>
    <n v="0.3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A80772B-1209-47C9-8DE6-0945AD6D9745}" name="PivotTable5"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Slaes Executive">
  <location ref="P3:Q9" firstHeaderRow="1" firstDataRow="1" firstDataCol="1"/>
  <pivotFields count="12">
    <pivotField showAll="0"/>
    <pivotField axis="axisRow" showAll="0" measureFilter="1">
      <items count="71">
        <item x="58"/>
        <item x="24"/>
        <item x="5"/>
        <item x="59"/>
        <item x="23"/>
        <item x="16"/>
        <item x="69"/>
        <item x="35"/>
        <item x="22"/>
        <item x="56"/>
        <item x="39"/>
        <item x="12"/>
        <item x="18"/>
        <item x="31"/>
        <item x="66"/>
        <item x="68"/>
        <item x="47"/>
        <item x="62"/>
        <item x="52"/>
        <item x="60"/>
        <item x="2"/>
        <item x="50"/>
        <item x="32"/>
        <item x="21"/>
        <item x="0"/>
        <item x="30"/>
        <item x="44"/>
        <item x="54"/>
        <item x="11"/>
        <item x="4"/>
        <item x="27"/>
        <item x="17"/>
        <item x="61"/>
        <item x="6"/>
        <item x="55"/>
        <item x="49"/>
        <item x="67"/>
        <item x="38"/>
        <item x="51"/>
        <item x="34"/>
        <item x="46"/>
        <item x="7"/>
        <item x="29"/>
        <item x="20"/>
        <item x="42"/>
        <item x="3"/>
        <item x="48"/>
        <item x="45"/>
        <item x="36"/>
        <item x="15"/>
        <item x="40"/>
        <item x="9"/>
        <item x="26"/>
        <item x="13"/>
        <item x="19"/>
        <item x="10"/>
        <item x="14"/>
        <item x="65"/>
        <item x="37"/>
        <item x="43"/>
        <item x="1"/>
        <item x="25"/>
        <item x="8"/>
        <item x="28"/>
        <item x="64"/>
        <item x="63"/>
        <item x="53"/>
        <item x="33"/>
        <item x="57"/>
        <item x="41"/>
        <item t="default"/>
      </items>
    </pivotField>
    <pivotField showAll="0">
      <items count="16">
        <item h="1" x="10"/>
        <item h="1" x="2"/>
        <item h="1" x="3"/>
        <item h="1" x="0"/>
        <item h="1" x="9"/>
        <item h="1" x="6"/>
        <item h="1" x="1"/>
        <item h="1" x="7"/>
        <item h="1" x="5"/>
        <item h="1" x="11"/>
        <item x="8"/>
        <item h="1" x="4"/>
        <item h="1" x="13"/>
        <item h="1" x="12"/>
        <item h="1" x="14"/>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4"/>
    </i>
    <i>
      <x v="28"/>
    </i>
    <i>
      <x v="42"/>
    </i>
    <i>
      <x v="45"/>
    </i>
    <i>
      <x v="69"/>
    </i>
    <i t="grand">
      <x/>
    </i>
  </rowItems>
  <colItems count="1">
    <i/>
  </colItems>
  <dataFields count="1">
    <dataField name=" Away From Target % " fld="11" baseField="1" baseItem="4" numFmtId="10"/>
  </dataFields>
  <chartFormats count="7">
    <chartFormat chart="2"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1" count="1" selected="0">
            <x v="28"/>
          </reference>
        </references>
      </pivotArea>
    </chartFormat>
    <chartFormat chart="3" format="2">
      <pivotArea type="data" outline="0" fieldPosition="0">
        <references count="2">
          <reference field="4294967294" count="1" selected="0">
            <x v="0"/>
          </reference>
          <reference field="1" count="1" selected="0">
            <x v="42"/>
          </reference>
        </references>
      </pivotArea>
    </chartFormat>
    <chartFormat chart="3" format="3">
      <pivotArea type="data" outline="0" fieldPosition="0">
        <references count="2">
          <reference field="4294967294" count="1" selected="0">
            <x v="0"/>
          </reference>
          <reference field="1" count="1" selected="0">
            <x v="45"/>
          </reference>
        </references>
      </pivotArea>
    </chartFormat>
    <chartFormat chart="3" format="4">
      <pivotArea type="data" outline="0" fieldPosition="0">
        <references count="2">
          <reference field="4294967294" count="1" selected="0">
            <x v="0"/>
          </reference>
          <reference field="1" count="1" selected="0">
            <x v="69"/>
          </reference>
        </references>
      </pivotArea>
    </chartFormat>
    <chartFormat chart="3" format="5">
      <pivotArea type="data" outline="0" fieldPosition="0">
        <references count="2">
          <reference field="4294967294" count="1" selected="0">
            <x v="0"/>
          </reference>
          <reference field="1" count="1" selected="0">
            <x v="4"/>
          </reference>
        </references>
      </pivotArea>
    </chartFormat>
  </chartFormats>
  <pivotTableStyleInfo name="PivotStyleMedium15"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DA2A9DF-FA42-4F6B-9D9A-D20558D633F1}" name="PivotTable4"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Sales Executive">
  <location ref="K3:L10" firstHeaderRow="1" firstDataRow="1" firstDataCol="1"/>
  <pivotFields count="12">
    <pivotField showAll="0"/>
    <pivotField axis="axisRow" showAll="0" measureFilter="1">
      <items count="71">
        <item x="58"/>
        <item x="24"/>
        <item x="5"/>
        <item x="59"/>
        <item x="23"/>
        <item x="16"/>
        <item x="69"/>
        <item x="35"/>
        <item x="22"/>
        <item x="56"/>
        <item x="39"/>
        <item x="12"/>
        <item x="18"/>
        <item x="31"/>
        <item x="66"/>
        <item x="68"/>
        <item x="47"/>
        <item x="62"/>
        <item x="52"/>
        <item x="60"/>
        <item x="2"/>
        <item x="50"/>
        <item x="32"/>
        <item x="21"/>
        <item x="0"/>
        <item x="30"/>
        <item x="44"/>
        <item x="54"/>
        <item x="11"/>
        <item x="4"/>
        <item x="27"/>
        <item x="17"/>
        <item x="61"/>
        <item x="6"/>
        <item x="55"/>
        <item x="49"/>
        <item x="67"/>
        <item x="38"/>
        <item x="51"/>
        <item x="34"/>
        <item x="46"/>
        <item x="7"/>
        <item x="29"/>
        <item x="20"/>
        <item x="42"/>
        <item x="3"/>
        <item x="48"/>
        <item x="45"/>
        <item x="36"/>
        <item x="15"/>
        <item x="40"/>
        <item x="9"/>
        <item x="26"/>
        <item x="13"/>
        <item x="19"/>
        <item x="10"/>
        <item x="14"/>
        <item x="65"/>
        <item x="37"/>
        <item x="43"/>
        <item x="1"/>
        <item x="25"/>
        <item x="8"/>
        <item x="28"/>
        <item x="64"/>
        <item x="63"/>
        <item x="53"/>
        <item x="33"/>
        <item x="57"/>
        <item x="41"/>
        <item t="default"/>
      </items>
    </pivotField>
    <pivotField showAll="0">
      <items count="16">
        <item h="1" x="10"/>
        <item h="1" x="2"/>
        <item h="1" x="3"/>
        <item h="1" x="0"/>
        <item h="1" x="9"/>
        <item h="1" x="6"/>
        <item h="1" x="1"/>
        <item x="7"/>
        <item h="1" x="5"/>
        <item h="1" x="11"/>
        <item h="1" x="8"/>
        <item h="1" x="4"/>
        <item h="1" x="13"/>
        <item h="1" x="12"/>
        <item h="1" x="14"/>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7">
    <i>
      <x v="3"/>
    </i>
    <i>
      <x v="9"/>
    </i>
    <i>
      <x v="10"/>
    </i>
    <i>
      <x v="13"/>
    </i>
    <i>
      <x v="24"/>
    </i>
    <i>
      <x v="44"/>
    </i>
    <i t="grand">
      <x/>
    </i>
  </rowItems>
  <colItems count="1">
    <i/>
  </colItems>
  <dataFields count="1">
    <dataField name=" Away From Target % " fld="11" baseField="1" baseItem="3" numFmtId="10"/>
  </dataFields>
  <chartFormats count="1">
    <chartFormat chart="3"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4187CB0-035E-445C-89DC-D28317E819DF}" name="PivotTable2"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rowHeaderCaption="Slaes Executive">
  <location ref="G3:H8" firstHeaderRow="1" firstDataRow="1" firstDataCol="1"/>
  <pivotFields count="12">
    <pivotField showAll="0"/>
    <pivotField axis="axisRow" showAll="0" measureFilter="1">
      <items count="71">
        <item x="58"/>
        <item x="24"/>
        <item x="5"/>
        <item x="59"/>
        <item x="23"/>
        <item x="16"/>
        <item x="69"/>
        <item x="35"/>
        <item x="22"/>
        <item x="56"/>
        <item x="39"/>
        <item x="12"/>
        <item x="18"/>
        <item x="31"/>
        <item x="66"/>
        <item x="68"/>
        <item x="47"/>
        <item x="62"/>
        <item x="52"/>
        <item x="60"/>
        <item x="2"/>
        <item x="50"/>
        <item x="32"/>
        <item x="21"/>
        <item x="0"/>
        <item x="30"/>
        <item x="44"/>
        <item x="54"/>
        <item x="11"/>
        <item x="4"/>
        <item x="27"/>
        <item x="17"/>
        <item x="61"/>
        <item x="6"/>
        <item x="55"/>
        <item x="49"/>
        <item x="67"/>
        <item x="38"/>
        <item x="51"/>
        <item x="34"/>
        <item x="46"/>
        <item x="7"/>
        <item x="29"/>
        <item x="20"/>
        <item x="42"/>
        <item x="3"/>
        <item x="48"/>
        <item x="45"/>
        <item x="36"/>
        <item x="15"/>
        <item x="40"/>
        <item x="9"/>
        <item x="26"/>
        <item x="13"/>
        <item x="19"/>
        <item x="10"/>
        <item x="14"/>
        <item x="65"/>
        <item x="37"/>
        <item x="43"/>
        <item x="1"/>
        <item x="25"/>
        <item x="8"/>
        <item x="28"/>
        <item x="64"/>
        <item x="63"/>
        <item x="53"/>
        <item x="33"/>
        <item x="57"/>
        <item x="41"/>
        <item t="default"/>
      </items>
    </pivotField>
    <pivotField showAll="0">
      <items count="16">
        <item h="1" x="10"/>
        <item h="1" x="2"/>
        <item h="1" x="3"/>
        <item h="1" x="0"/>
        <item h="1" x="9"/>
        <item x="6"/>
        <item h="1" x="1"/>
        <item h="1" x="7"/>
        <item h="1" x="5"/>
        <item h="1" x="11"/>
        <item h="1" x="8"/>
        <item h="1" x="4"/>
        <item h="1" x="13"/>
        <item h="1" x="12"/>
        <item h="1" x="14"/>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i>
    <i>
      <x v="21"/>
    </i>
    <i>
      <x v="40"/>
    </i>
    <i>
      <x v="41"/>
    </i>
    <i t="grand">
      <x/>
    </i>
  </rowItems>
  <colItems count="1">
    <i/>
  </colItems>
  <dataFields count="1">
    <dataField name="Target Hit % " fld="10" baseField="1" baseItem="3" numFmtId="10"/>
  </dataFields>
  <chartFormats count="2">
    <chartFormat chart="2"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5FC0D97-7A51-4EEE-B4BC-B277B3C2AF56}" name="PivotTable1"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rowHeaderCaption="Sales Executive">
  <location ref="B3:C8" firstHeaderRow="1" firstDataRow="1" firstDataCol="1"/>
  <pivotFields count="12">
    <pivotField showAll="0"/>
    <pivotField axis="axisRow" showAll="0">
      <items count="71">
        <item x="58"/>
        <item x="24"/>
        <item x="5"/>
        <item x="59"/>
        <item x="23"/>
        <item x="16"/>
        <item x="69"/>
        <item x="35"/>
        <item x="22"/>
        <item x="56"/>
        <item x="39"/>
        <item x="12"/>
        <item x="18"/>
        <item x="31"/>
        <item x="66"/>
        <item x="68"/>
        <item x="47"/>
        <item x="62"/>
        <item x="52"/>
        <item x="60"/>
        <item x="2"/>
        <item x="50"/>
        <item x="32"/>
        <item x="21"/>
        <item x="0"/>
        <item x="30"/>
        <item x="44"/>
        <item x="54"/>
        <item x="11"/>
        <item x="4"/>
        <item x="27"/>
        <item x="17"/>
        <item x="61"/>
        <item x="6"/>
        <item x="55"/>
        <item x="49"/>
        <item x="67"/>
        <item x="38"/>
        <item x="51"/>
        <item x="34"/>
        <item x="46"/>
        <item x="7"/>
        <item x="29"/>
        <item x="20"/>
        <item x="42"/>
        <item x="3"/>
        <item x="48"/>
        <item x="45"/>
        <item x="36"/>
        <item x="15"/>
        <item x="40"/>
        <item x="9"/>
        <item x="26"/>
        <item x="13"/>
        <item x="19"/>
        <item x="10"/>
        <item x="14"/>
        <item x="65"/>
        <item x="37"/>
        <item x="43"/>
        <item x="1"/>
        <item x="25"/>
        <item x="8"/>
        <item x="28"/>
        <item x="64"/>
        <item x="63"/>
        <item x="53"/>
        <item x="33"/>
        <item x="57"/>
        <item x="41"/>
        <item t="default"/>
      </items>
    </pivotField>
    <pivotField showAll="0">
      <items count="16">
        <item h="1" x="10"/>
        <item h="1" x="2"/>
        <item h="1" x="3"/>
        <item h="1" x="0"/>
        <item h="1" x="9"/>
        <item x="6"/>
        <item h="1" x="1"/>
        <item h="1" x="7"/>
        <item h="1" x="5"/>
        <item h="1" x="11"/>
        <item h="1" x="8"/>
        <item h="1" x="4"/>
        <item h="1" x="13"/>
        <item h="1" x="12"/>
        <item h="1" x="14"/>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i>
    <i>
      <x v="21"/>
    </i>
    <i>
      <x v="40"/>
    </i>
    <i>
      <x v="41"/>
    </i>
    <i t="grand">
      <x/>
    </i>
  </rowItems>
  <colItems count="1">
    <i/>
  </colItems>
  <dataFields count="1">
    <dataField name="Sum of Away From Target %" fld="11" baseField="0" baseItem="0" numFmtId="10"/>
  </dataFields>
  <chartFormats count="1">
    <chartFormat chart="3" format="1"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7C6EF6D-3DDC-415F-A54A-97927AEB6262}" sourceName="Region">
  <pivotTables>
    <pivotTable tabId="2" name="PivotTable2"/>
    <pivotTable tabId="2" name="PivotTable1"/>
  </pivotTables>
  <data>
    <tabular pivotCacheId="1616951540">
      <items count="15">
        <i x="10"/>
        <i x="2"/>
        <i x="3"/>
        <i x="0"/>
        <i x="9"/>
        <i x="6" s="1"/>
        <i x="1"/>
        <i x="7"/>
        <i x="5"/>
        <i x="11"/>
        <i x="8"/>
        <i x="4"/>
        <i x="13"/>
        <i x="12"/>
        <i x="1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BAC0BC82-0DA3-4B7C-A852-576B2AF70564}" cache="Slicer_Region" caption="Region" columnCount="15" showCaption="0" style="Slicer Style 1" rowHeight="234950"/>
</slicers>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713187-F906-456C-BAB2-A074DA77BF9A}">
  <sheetPr codeName="Sheet1"/>
  <dimension ref="A1:U39"/>
  <sheetViews>
    <sheetView showGridLines="0" showRowColHeaders="0" tabSelected="1" zoomScale="73" workbookViewId="0">
      <selection activeCell="F38" sqref="F38"/>
    </sheetView>
  </sheetViews>
  <sheetFormatPr defaultRowHeight="14.4" x14ac:dyDescent="0.3"/>
  <cols>
    <col min="1" max="1" width="15.88671875" bestFit="1" customWidth="1"/>
    <col min="2" max="2" width="16.6640625" bestFit="1" customWidth="1"/>
    <col min="3" max="4" width="24.109375" bestFit="1" customWidth="1"/>
    <col min="5" max="5" width="11.33203125" bestFit="1" customWidth="1"/>
    <col min="7" max="7" width="16.6640625" bestFit="1" customWidth="1"/>
    <col min="8" max="8" width="11.33203125" bestFit="1" customWidth="1"/>
    <col min="10" max="10" width="15.88671875" bestFit="1" customWidth="1"/>
    <col min="11" max="11" width="16.6640625" bestFit="1" customWidth="1"/>
    <col min="12" max="12" width="18.77734375" bestFit="1" customWidth="1"/>
    <col min="16" max="16" width="16.6640625" bestFit="1" customWidth="1"/>
    <col min="17" max="17" width="18.77734375" bestFit="1" customWidth="1"/>
    <col min="18" max="18" width="17.21875" bestFit="1" customWidth="1"/>
  </cols>
  <sheetData>
    <row r="1" spans="1:21" ht="79.8" customHeight="1" x14ac:dyDescent="0.3">
      <c r="A1" s="10"/>
      <c r="B1" s="10" t="b">
        <v>1</v>
      </c>
      <c r="C1" s="10"/>
      <c r="D1" s="10"/>
      <c r="E1" s="10"/>
      <c r="F1" s="10"/>
      <c r="G1" s="10" t="b">
        <v>1</v>
      </c>
      <c r="H1" s="10"/>
      <c r="I1" s="10"/>
      <c r="J1" s="10"/>
      <c r="K1" s="10" t="b">
        <v>0</v>
      </c>
      <c r="L1" s="10"/>
      <c r="M1" s="10"/>
      <c r="N1" s="10"/>
      <c r="O1" s="10"/>
      <c r="P1" s="10" t="b">
        <v>0</v>
      </c>
      <c r="Q1" s="10"/>
      <c r="R1" s="10"/>
      <c r="S1" s="10"/>
      <c r="T1" s="10"/>
      <c r="U1" s="10"/>
    </row>
    <row r="2" spans="1:21" x14ac:dyDescent="0.3">
      <c r="A2" s="10"/>
      <c r="B2" s="10"/>
      <c r="C2" s="10"/>
      <c r="D2" s="10"/>
      <c r="E2" s="10"/>
      <c r="F2" s="10"/>
      <c r="G2" s="10"/>
      <c r="H2" s="10"/>
      <c r="I2" s="10"/>
      <c r="J2" s="10"/>
      <c r="K2" s="10"/>
      <c r="L2" s="10"/>
      <c r="M2" s="10"/>
      <c r="N2" s="10"/>
      <c r="O2" s="10"/>
      <c r="P2" s="10"/>
      <c r="Q2" s="10"/>
      <c r="R2" s="10"/>
      <c r="S2" s="10"/>
      <c r="T2" s="10"/>
      <c r="U2" s="10"/>
    </row>
    <row r="3" spans="1:21" x14ac:dyDescent="0.3">
      <c r="A3" s="10"/>
      <c r="B3" s="7" t="s">
        <v>1</v>
      </c>
      <c r="C3" t="s">
        <v>168</v>
      </c>
      <c r="D3" s="10"/>
      <c r="E3" s="10"/>
      <c r="F3" s="10"/>
      <c r="G3" s="7" t="s">
        <v>169</v>
      </c>
      <c r="H3" t="s">
        <v>170</v>
      </c>
      <c r="I3" s="10"/>
      <c r="J3" s="10"/>
      <c r="K3" s="7" t="s">
        <v>1</v>
      </c>
      <c r="L3" t="s">
        <v>171</v>
      </c>
      <c r="M3" s="10"/>
      <c r="N3" s="10"/>
      <c r="O3" s="10"/>
      <c r="P3" s="7" t="s">
        <v>169</v>
      </c>
      <c r="Q3" t="s">
        <v>171</v>
      </c>
      <c r="R3" s="10"/>
      <c r="S3" s="10"/>
      <c r="T3" s="10"/>
      <c r="U3" s="10"/>
    </row>
    <row r="4" spans="1:21" x14ac:dyDescent="0.3">
      <c r="A4" s="10"/>
      <c r="B4" s="8" t="s">
        <v>144</v>
      </c>
      <c r="C4" s="9">
        <v>0.47399999999999998</v>
      </c>
      <c r="D4" s="10"/>
      <c r="E4" s="10"/>
      <c r="F4" s="10"/>
      <c r="G4" s="8" t="s">
        <v>144</v>
      </c>
      <c r="H4" s="9">
        <v>0.52600000000000002</v>
      </c>
      <c r="I4" s="10"/>
      <c r="J4" s="10"/>
      <c r="K4" s="8" t="s">
        <v>146</v>
      </c>
      <c r="L4" s="9">
        <v>0.67799999999999994</v>
      </c>
      <c r="M4" s="10"/>
      <c r="N4" s="10"/>
      <c r="O4" s="10"/>
      <c r="P4" s="8" t="s">
        <v>71</v>
      </c>
      <c r="Q4" s="9">
        <v>0.21999999999999997</v>
      </c>
      <c r="R4" s="10"/>
      <c r="S4" s="10"/>
      <c r="T4" s="10"/>
      <c r="U4" s="10"/>
    </row>
    <row r="5" spans="1:21" x14ac:dyDescent="0.3">
      <c r="A5" s="10"/>
      <c r="B5" s="8" t="s">
        <v>128</v>
      </c>
      <c r="C5" s="9">
        <v>0.53200000000000003</v>
      </c>
      <c r="D5" s="10"/>
      <c r="E5" s="10"/>
      <c r="F5" s="10"/>
      <c r="G5" s="8" t="s">
        <v>128</v>
      </c>
      <c r="H5" s="9">
        <v>0.46800000000000003</v>
      </c>
      <c r="I5" s="10"/>
      <c r="J5" s="10"/>
      <c r="K5" s="8" t="s">
        <v>140</v>
      </c>
      <c r="L5" s="9">
        <v>0.70399999999999996</v>
      </c>
      <c r="M5" s="10"/>
      <c r="N5" s="10"/>
      <c r="O5" s="10"/>
      <c r="P5" s="8" t="s">
        <v>44</v>
      </c>
      <c r="Q5" s="9">
        <v>0.22799999999999998</v>
      </c>
      <c r="R5" s="10"/>
      <c r="S5" s="10"/>
      <c r="T5" s="10"/>
      <c r="U5" s="10"/>
    </row>
    <row r="6" spans="1:21" x14ac:dyDescent="0.3">
      <c r="A6" s="10"/>
      <c r="B6" s="8" t="s">
        <v>120</v>
      </c>
      <c r="C6" s="9">
        <v>0.45399999999999996</v>
      </c>
      <c r="D6" s="10"/>
      <c r="E6" s="10"/>
      <c r="F6" s="10"/>
      <c r="G6" s="8" t="s">
        <v>120</v>
      </c>
      <c r="H6" s="9">
        <v>0.54600000000000004</v>
      </c>
      <c r="I6" s="10"/>
      <c r="J6" s="10"/>
      <c r="K6" s="8" t="s">
        <v>105</v>
      </c>
      <c r="L6" s="9">
        <v>0.66999999999999993</v>
      </c>
      <c r="M6" s="10"/>
      <c r="N6" s="10"/>
      <c r="O6" s="10"/>
      <c r="P6" s="8" t="s">
        <v>85</v>
      </c>
      <c r="Q6" s="9">
        <v>0.22599999999999998</v>
      </c>
      <c r="R6" s="10"/>
      <c r="S6" s="10"/>
      <c r="T6" s="10"/>
      <c r="U6" s="10"/>
    </row>
    <row r="7" spans="1:21" x14ac:dyDescent="0.3">
      <c r="A7" s="10"/>
      <c r="B7" s="8" t="s">
        <v>33</v>
      </c>
      <c r="C7" s="9">
        <v>0.34799999999999998</v>
      </c>
      <c r="D7" s="10"/>
      <c r="E7" s="10"/>
      <c r="F7" s="10"/>
      <c r="G7" s="8" t="s">
        <v>33</v>
      </c>
      <c r="H7" s="9">
        <v>0.65200000000000002</v>
      </c>
      <c r="I7" s="10"/>
      <c r="J7" s="10"/>
      <c r="K7" s="8" t="s">
        <v>89</v>
      </c>
      <c r="L7" s="9">
        <v>0.65200000000000002</v>
      </c>
      <c r="M7" s="10"/>
      <c r="N7" s="10"/>
      <c r="O7" s="10"/>
      <c r="P7" s="8" t="s">
        <v>21</v>
      </c>
      <c r="Q7" s="9">
        <v>0.30800000000000005</v>
      </c>
      <c r="R7" s="10"/>
      <c r="S7" s="10"/>
      <c r="T7" s="10"/>
      <c r="U7" s="10"/>
    </row>
    <row r="8" spans="1:21" x14ac:dyDescent="0.3">
      <c r="A8" s="10"/>
      <c r="B8" s="8" t="s">
        <v>167</v>
      </c>
      <c r="C8" s="9">
        <v>1.8079999999999998</v>
      </c>
      <c r="D8" s="10"/>
      <c r="E8" s="10"/>
      <c r="F8" s="10"/>
      <c r="G8" s="8" t="s">
        <v>167</v>
      </c>
      <c r="H8" s="9">
        <v>2.1920000000000002</v>
      </c>
      <c r="I8" s="10"/>
      <c r="J8" s="10"/>
      <c r="K8" s="8" t="s">
        <v>13</v>
      </c>
      <c r="L8" s="9">
        <v>0.65200000000000002</v>
      </c>
      <c r="M8" s="10"/>
      <c r="N8" s="10"/>
      <c r="O8" s="10"/>
      <c r="P8" s="8" t="s">
        <v>109</v>
      </c>
      <c r="Q8" s="9">
        <v>0.28400000000000003</v>
      </c>
      <c r="R8" s="10"/>
      <c r="S8" s="10"/>
      <c r="T8" s="10"/>
      <c r="U8" s="10"/>
    </row>
    <row r="9" spans="1:21" x14ac:dyDescent="0.3">
      <c r="A9" s="10"/>
      <c r="B9" s="10"/>
      <c r="C9" s="10"/>
      <c r="D9" s="10"/>
      <c r="E9" s="10"/>
      <c r="F9" s="10"/>
      <c r="I9" s="10"/>
      <c r="J9" s="10"/>
      <c r="K9" s="8" t="s">
        <v>111</v>
      </c>
      <c r="L9" s="9">
        <v>0.67199999999999993</v>
      </c>
      <c r="M9" s="10"/>
      <c r="N9" s="10"/>
      <c r="O9" s="10"/>
      <c r="P9" s="8" t="s">
        <v>167</v>
      </c>
      <c r="Q9" s="9">
        <v>1.266</v>
      </c>
      <c r="R9" s="10"/>
      <c r="S9" s="10"/>
      <c r="T9" s="10"/>
      <c r="U9" s="10"/>
    </row>
    <row r="10" spans="1:21" x14ac:dyDescent="0.3">
      <c r="A10" s="10"/>
      <c r="B10" s="10"/>
      <c r="C10" s="10"/>
      <c r="D10" s="10"/>
      <c r="E10" s="10"/>
      <c r="F10" s="10"/>
      <c r="I10" s="10"/>
      <c r="J10" s="10"/>
      <c r="K10" s="8" t="s">
        <v>167</v>
      </c>
      <c r="L10" s="9">
        <v>4.0279999999999996</v>
      </c>
      <c r="M10" s="10"/>
      <c r="N10" s="10"/>
      <c r="O10" s="10"/>
      <c r="R10" s="10"/>
      <c r="S10" s="10"/>
      <c r="T10" s="10"/>
      <c r="U10" s="10"/>
    </row>
    <row r="11" spans="1:21" x14ac:dyDescent="0.3">
      <c r="A11" s="10"/>
      <c r="B11" s="10"/>
      <c r="C11" s="10"/>
      <c r="D11" s="10"/>
      <c r="E11" s="10"/>
      <c r="F11" s="10"/>
      <c r="G11" s="10"/>
      <c r="H11" s="10"/>
      <c r="I11" s="10"/>
      <c r="J11" s="10"/>
      <c r="K11" s="10"/>
      <c r="L11" s="10"/>
      <c r="M11" s="10"/>
      <c r="N11" s="10"/>
      <c r="O11" s="10"/>
      <c r="P11" s="10"/>
      <c r="Q11" s="10"/>
      <c r="R11" s="10"/>
      <c r="S11" s="10"/>
      <c r="T11" s="10"/>
      <c r="U11" s="10"/>
    </row>
    <row r="12" spans="1:21" x14ac:dyDescent="0.3">
      <c r="A12" s="10"/>
      <c r="B12" s="10"/>
      <c r="C12" s="10"/>
      <c r="D12" s="10"/>
      <c r="E12" s="10"/>
      <c r="F12" s="10"/>
      <c r="G12" s="10"/>
      <c r="H12" s="10"/>
      <c r="I12" s="10"/>
      <c r="J12" s="10"/>
      <c r="K12" s="10"/>
      <c r="L12" s="10"/>
      <c r="M12" s="10"/>
      <c r="N12" s="10"/>
      <c r="O12" s="10"/>
      <c r="P12" s="10"/>
      <c r="Q12" s="10"/>
      <c r="R12" s="10"/>
      <c r="S12" s="10"/>
      <c r="T12" s="10"/>
      <c r="U12" s="10"/>
    </row>
    <row r="13" spans="1:21" x14ac:dyDescent="0.3">
      <c r="A13" s="10"/>
      <c r="D13" s="10"/>
      <c r="E13" s="10"/>
      <c r="F13" s="10"/>
      <c r="G13" s="10"/>
      <c r="H13" s="10"/>
      <c r="I13" s="10"/>
      <c r="J13" s="10"/>
      <c r="K13" s="10"/>
      <c r="L13" s="10"/>
      <c r="M13" s="10"/>
      <c r="N13" s="10"/>
      <c r="O13" s="10"/>
      <c r="P13" s="10"/>
      <c r="Q13" s="10"/>
      <c r="R13" s="10"/>
      <c r="S13" s="10"/>
      <c r="T13" s="10"/>
      <c r="U13" s="10"/>
    </row>
    <row r="14" spans="1:21" x14ac:dyDescent="0.3">
      <c r="A14" s="10"/>
      <c r="D14" s="10"/>
      <c r="E14" s="10"/>
      <c r="F14" s="10"/>
      <c r="G14" s="10"/>
      <c r="H14" s="10"/>
      <c r="I14" s="10"/>
      <c r="J14" s="10"/>
      <c r="K14" s="10"/>
      <c r="L14" s="10"/>
      <c r="M14" s="10"/>
      <c r="N14" s="10"/>
      <c r="O14" s="10"/>
      <c r="P14" s="10"/>
      <c r="Q14" s="10"/>
      <c r="R14" s="10"/>
      <c r="S14" s="10"/>
      <c r="T14" s="10"/>
      <c r="U14" s="10"/>
    </row>
    <row r="15" spans="1:21" x14ac:dyDescent="0.3">
      <c r="A15" s="10"/>
      <c r="D15" s="10"/>
      <c r="E15" s="10"/>
      <c r="F15" s="10"/>
      <c r="G15" s="10"/>
      <c r="H15" s="10"/>
      <c r="I15" s="10"/>
      <c r="J15" s="10"/>
      <c r="K15" s="10"/>
      <c r="L15" s="10"/>
      <c r="M15" s="10"/>
      <c r="N15" s="10"/>
      <c r="O15" s="10"/>
      <c r="P15" s="10"/>
      <c r="Q15" s="10"/>
      <c r="R15" s="10"/>
      <c r="S15" s="10"/>
      <c r="T15" s="10"/>
      <c r="U15" s="10"/>
    </row>
    <row r="16" spans="1:21" x14ac:dyDescent="0.3">
      <c r="A16" s="10"/>
      <c r="D16" s="10"/>
      <c r="E16" s="10"/>
      <c r="F16" s="10"/>
      <c r="G16" s="10"/>
      <c r="H16" s="10"/>
      <c r="I16" s="10"/>
      <c r="J16" s="10"/>
      <c r="K16" s="10"/>
      <c r="L16" s="10"/>
      <c r="M16" s="10"/>
      <c r="N16" s="10"/>
      <c r="O16" s="10"/>
      <c r="P16" s="10"/>
      <c r="Q16" s="10"/>
      <c r="R16" s="10"/>
      <c r="S16" s="10"/>
      <c r="T16" s="10"/>
      <c r="U16" s="10"/>
    </row>
    <row r="17" spans="1:21" x14ac:dyDescent="0.3">
      <c r="A17" s="10"/>
      <c r="D17" s="10"/>
      <c r="E17" s="10"/>
      <c r="F17" s="10"/>
      <c r="G17" s="10"/>
      <c r="H17" s="10"/>
      <c r="I17" s="10"/>
      <c r="J17" s="10"/>
      <c r="K17" s="10"/>
      <c r="L17" s="10"/>
      <c r="M17" s="10"/>
      <c r="N17" s="10"/>
      <c r="O17" s="10"/>
      <c r="P17" s="10"/>
      <c r="Q17" s="10"/>
      <c r="R17" s="10"/>
      <c r="S17" s="10"/>
      <c r="T17" s="10"/>
      <c r="U17" s="10"/>
    </row>
    <row r="18" spans="1:21" x14ac:dyDescent="0.3">
      <c r="A18" s="10"/>
      <c r="D18" s="10"/>
      <c r="E18" s="10"/>
      <c r="F18" s="10"/>
      <c r="G18" s="10"/>
      <c r="H18" s="10"/>
      <c r="I18" s="10"/>
      <c r="J18" s="10"/>
      <c r="K18" s="10"/>
      <c r="L18" s="10"/>
      <c r="M18" s="10"/>
      <c r="N18" s="10"/>
      <c r="O18" s="10"/>
      <c r="P18" s="10"/>
      <c r="Q18" s="10"/>
      <c r="R18" s="10"/>
      <c r="S18" s="10"/>
      <c r="T18" s="10"/>
      <c r="U18" s="10"/>
    </row>
    <row r="19" spans="1:21" x14ac:dyDescent="0.3">
      <c r="A19" s="10"/>
      <c r="D19" s="10"/>
      <c r="E19" s="10"/>
      <c r="F19" s="10"/>
      <c r="G19" s="10"/>
      <c r="H19" s="10"/>
      <c r="I19" s="10"/>
      <c r="J19" s="10"/>
      <c r="K19" s="10"/>
      <c r="L19" s="10"/>
      <c r="M19" s="10"/>
      <c r="N19" s="10"/>
      <c r="O19" s="10"/>
      <c r="P19" s="10"/>
      <c r="Q19" s="10"/>
      <c r="R19" s="10"/>
      <c r="S19" s="10"/>
      <c r="T19" s="10"/>
      <c r="U19" s="10"/>
    </row>
    <row r="20" spans="1:21" x14ac:dyDescent="0.3">
      <c r="A20" s="10"/>
      <c r="D20" s="10"/>
      <c r="E20" s="10"/>
      <c r="F20" s="10"/>
      <c r="G20" s="10"/>
      <c r="H20" s="10"/>
      <c r="I20" s="10"/>
      <c r="J20" s="10"/>
      <c r="K20" s="10"/>
      <c r="L20" s="10"/>
      <c r="M20" s="10"/>
      <c r="N20" s="10"/>
      <c r="O20" s="10"/>
      <c r="P20" s="10"/>
      <c r="Q20" s="10"/>
      <c r="R20" s="10"/>
      <c r="S20" s="10"/>
      <c r="T20" s="10"/>
      <c r="U20" s="10"/>
    </row>
    <row r="21" spans="1:21" x14ac:dyDescent="0.3">
      <c r="A21" s="10"/>
      <c r="D21" s="10"/>
      <c r="E21" s="10"/>
      <c r="F21" s="10"/>
      <c r="G21" s="10"/>
      <c r="H21" s="10"/>
      <c r="I21" s="10"/>
      <c r="J21" s="10"/>
      <c r="K21" s="10"/>
      <c r="L21" s="10"/>
      <c r="M21" s="10"/>
      <c r="N21" s="10"/>
      <c r="O21" s="10"/>
      <c r="P21" s="10"/>
      <c r="Q21" s="10"/>
      <c r="R21" s="10"/>
      <c r="S21" s="10"/>
      <c r="T21" s="10"/>
      <c r="U21" s="10"/>
    </row>
    <row r="22" spans="1:21" x14ac:dyDescent="0.3">
      <c r="A22" s="10"/>
      <c r="D22" s="10"/>
      <c r="E22" s="10"/>
      <c r="F22" s="10"/>
      <c r="G22" s="10"/>
      <c r="H22" s="10"/>
      <c r="I22" s="10"/>
      <c r="J22" s="10"/>
      <c r="K22" s="10"/>
      <c r="L22" s="10"/>
      <c r="M22" s="10"/>
      <c r="N22" s="10"/>
      <c r="O22" s="10"/>
      <c r="P22" s="10"/>
      <c r="Q22" s="10"/>
      <c r="R22" s="10"/>
      <c r="S22" s="10"/>
      <c r="T22" s="10"/>
      <c r="U22" s="10"/>
    </row>
    <row r="23" spans="1:21" x14ac:dyDescent="0.3">
      <c r="A23" s="10"/>
      <c r="D23" s="10"/>
      <c r="E23" s="10"/>
      <c r="F23" s="10"/>
      <c r="G23" s="10"/>
      <c r="H23" s="10"/>
      <c r="I23" s="10"/>
      <c r="J23" s="10"/>
      <c r="K23" s="10"/>
      <c r="L23" s="10"/>
      <c r="M23" s="10"/>
      <c r="N23" s="10"/>
      <c r="O23" s="10"/>
      <c r="P23" s="10"/>
      <c r="Q23" s="10"/>
      <c r="R23" s="10"/>
      <c r="S23" s="10"/>
      <c r="T23" s="10"/>
      <c r="U23" s="10"/>
    </row>
    <row r="24" spans="1:21" x14ac:dyDescent="0.3">
      <c r="A24" s="10"/>
      <c r="D24" s="10"/>
      <c r="E24" s="10"/>
      <c r="F24" s="10"/>
      <c r="G24" s="10"/>
      <c r="H24" s="10"/>
      <c r="I24" s="10"/>
      <c r="J24" s="10"/>
      <c r="K24" s="10"/>
      <c r="L24" s="10"/>
      <c r="M24" s="10"/>
      <c r="N24" s="10"/>
      <c r="O24" s="10"/>
      <c r="P24" s="10"/>
      <c r="Q24" s="10"/>
      <c r="R24" s="10"/>
      <c r="S24" s="10"/>
      <c r="T24" s="10"/>
      <c r="U24" s="10"/>
    </row>
    <row r="25" spans="1:21" x14ac:dyDescent="0.3">
      <c r="A25" s="10"/>
      <c r="D25" s="10"/>
      <c r="E25" s="10"/>
      <c r="F25" s="10"/>
      <c r="G25" s="10"/>
      <c r="H25" s="10"/>
      <c r="I25" s="10"/>
      <c r="J25" s="10"/>
      <c r="K25" s="10"/>
      <c r="L25" s="10"/>
      <c r="M25" s="10"/>
      <c r="N25" s="10"/>
      <c r="O25" s="10"/>
      <c r="P25" s="10"/>
      <c r="Q25" s="10"/>
      <c r="R25" s="10"/>
      <c r="S25" s="10"/>
      <c r="T25" s="10"/>
      <c r="U25" s="10"/>
    </row>
    <row r="26" spans="1:21" x14ac:dyDescent="0.3">
      <c r="A26" s="10"/>
      <c r="D26" s="10"/>
      <c r="E26" s="10"/>
      <c r="F26" s="10"/>
      <c r="G26" s="10"/>
      <c r="H26" s="10"/>
      <c r="I26" s="10"/>
      <c r="J26" s="10"/>
      <c r="K26" s="10"/>
      <c r="L26" s="10"/>
      <c r="M26" s="10"/>
      <c r="N26" s="10"/>
      <c r="O26" s="10"/>
      <c r="P26" s="10"/>
      <c r="Q26" s="10"/>
      <c r="R26" s="10"/>
      <c r="S26" s="10"/>
      <c r="T26" s="10"/>
      <c r="U26" s="10"/>
    </row>
    <row r="27" spans="1:21" x14ac:dyDescent="0.3">
      <c r="A27" s="10"/>
      <c r="D27" s="10"/>
      <c r="E27" s="10"/>
      <c r="F27" s="10"/>
      <c r="G27" s="10"/>
      <c r="H27" s="10"/>
      <c r="I27" s="10"/>
      <c r="J27" s="10"/>
      <c r="K27" s="10"/>
      <c r="L27" s="10"/>
      <c r="M27" s="10"/>
      <c r="N27" s="10"/>
      <c r="O27" s="10"/>
      <c r="P27" s="10"/>
      <c r="Q27" s="10"/>
      <c r="R27" s="10"/>
      <c r="S27" s="10"/>
      <c r="T27" s="10"/>
      <c r="U27" s="10"/>
    </row>
    <row r="28" spans="1:21" x14ac:dyDescent="0.3">
      <c r="A28" s="10"/>
      <c r="B28" s="10"/>
      <c r="C28" s="10"/>
      <c r="D28" s="10"/>
      <c r="E28" s="10"/>
      <c r="F28" s="10"/>
      <c r="G28" s="10"/>
      <c r="H28" s="10"/>
      <c r="I28" s="10"/>
      <c r="J28" s="10"/>
      <c r="K28" s="10"/>
      <c r="L28" s="10"/>
      <c r="M28" s="10"/>
      <c r="N28" s="10"/>
      <c r="O28" s="10"/>
      <c r="P28" s="10"/>
      <c r="Q28" s="10"/>
      <c r="R28" s="10"/>
      <c r="S28" s="10"/>
      <c r="T28" s="10"/>
      <c r="U28" s="10"/>
    </row>
    <row r="29" spans="1:21" x14ac:dyDescent="0.3">
      <c r="A29" s="10"/>
      <c r="B29" s="10"/>
      <c r="C29" s="10"/>
      <c r="D29" s="10"/>
      <c r="E29" s="10"/>
      <c r="F29" s="10"/>
      <c r="G29" s="10"/>
      <c r="H29" s="10"/>
      <c r="I29" s="10"/>
      <c r="J29" s="10"/>
      <c r="K29" s="10"/>
      <c r="L29" s="10"/>
      <c r="M29" s="10"/>
      <c r="N29" s="10"/>
      <c r="O29" s="10"/>
      <c r="P29" s="10"/>
      <c r="Q29" s="10"/>
      <c r="R29" s="10"/>
      <c r="S29" s="10"/>
      <c r="T29" s="10"/>
      <c r="U29" s="10"/>
    </row>
    <row r="30" spans="1:21" x14ac:dyDescent="0.3">
      <c r="A30" s="10"/>
      <c r="B30" s="10"/>
      <c r="C30" s="10"/>
      <c r="D30" s="10"/>
      <c r="E30" s="10"/>
      <c r="F30" s="10"/>
      <c r="G30" s="10"/>
      <c r="H30" s="10"/>
      <c r="I30" s="10"/>
      <c r="J30" s="10"/>
      <c r="K30" s="10"/>
      <c r="L30" s="10"/>
      <c r="M30" s="10"/>
      <c r="N30" s="10"/>
      <c r="O30" s="10"/>
      <c r="P30" s="10"/>
      <c r="Q30" s="10"/>
      <c r="R30" s="10"/>
      <c r="S30" s="10"/>
      <c r="T30" s="10"/>
      <c r="U30" s="10"/>
    </row>
    <row r="31" spans="1:21" x14ac:dyDescent="0.3">
      <c r="A31" s="10"/>
      <c r="B31" s="10"/>
      <c r="C31" s="10"/>
      <c r="D31" s="10"/>
      <c r="E31" s="10"/>
      <c r="F31" s="10"/>
      <c r="G31" s="10"/>
      <c r="H31" s="10"/>
      <c r="I31" s="10"/>
      <c r="J31" s="10"/>
      <c r="K31" s="10"/>
      <c r="L31" s="10"/>
      <c r="M31" s="10"/>
      <c r="N31" s="10"/>
      <c r="O31" s="10"/>
      <c r="P31" s="10"/>
      <c r="Q31" s="10"/>
      <c r="R31" s="10"/>
      <c r="S31" s="10"/>
      <c r="T31" s="10"/>
      <c r="U31" s="10"/>
    </row>
    <row r="32" spans="1:21" x14ac:dyDescent="0.3">
      <c r="A32" s="10"/>
      <c r="B32" s="10"/>
      <c r="C32" s="10"/>
      <c r="D32" s="10"/>
      <c r="E32" s="10"/>
      <c r="F32" s="10"/>
      <c r="G32" s="10"/>
      <c r="H32" s="10"/>
      <c r="I32" s="10"/>
      <c r="J32" s="10"/>
      <c r="K32" s="10"/>
      <c r="L32" s="10"/>
      <c r="M32" s="10"/>
      <c r="N32" s="10"/>
      <c r="O32" s="10"/>
      <c r="P32" s="10"/>
      <c r="Q32" s="10"/>
      <c r="R32" s="10"/>
      <c r="S32" s="10"/>
      <c r="T32" s="10"/>
      <c r="U32" s="10"/>
    </row>
    <row r="33" spans="1:21" x14ac:dyDescent="0.3">
      <c r="A33" s="10"/>
      <c r="B33" s="10"/>
      <c r="C33" s="10"/>
      <c r="D33" s="10"/>
      <c r="E33" s="10"/>
      <c r="F33" s="10"/>
      <c r="G33" s="10"/>
      <c r="H33" s="10"/>
      <c r="I33" s="10"/>
      <c r="J33" s="10"/>
      <c r="K33" s="10"/>
      <c r="L33" s="10"/>
      <c r="M33" s="10"/>
      <c r="N33" s="10"/>
      <c r="O33" s="10"/>
      <c r="P33" s="10"/>
      <c r="Q33" s="10"/>
      <c r="R33" s="10"/>
      <c r="S33" s="10"/>
      <c r="T33" s="10"/>
      <c r="U33" s="10"/>
    </row>
    <row r="34" spans="1:21" x14ac:dyDescent="0.3">
      <c r="A34" s="10"/>
      <c r="B34" s="10"/>
      <c r="C34" s="10"/>
      <c r="D34" s="10"/>
      <c r="E34" s="10"/>
      <c r="F34" s="10"/>
      <c r="G34" s="10"/>
      <c r="H34" s="10"/>
      <c r="I34" s="10"/>
      <c r="J34" s="10"/>
      <c r="K34" s="10"/>
      <c r="L34" s="10"/>
      <c r="M34" s="10"/>
      <c r="N34" s="10"/>
      <c r="O34" s="10"/>
      <c r="P34" s="10"/>
      <c r="Q34" s="10"/>
      <c r="R34" s="10"/>
      <c r="S34" s="10"/>
      <c r="T34" s="10"/>
      <c r="U34" s="10"/>
    </row>
    <row r="35" spans="1:21" x14ac:dyDescent="0.3">
      <c r="A35" s="10"/>
      <c r="B35" s="10"/>
      <c r="C35" s="10"/>
      <c r="D35" s="10"/>
      <c r="E35" s="10"/>
      <c r="F35" s="10"/>
      <c r="G35" s="10"/>
      <c r="H35" s="10"/>
      <c r="I35" s="10"/>
      <c r="J35" s="10"/>
      <c r="K35" s="10"/>
      <c r="L35" s="10"/>
      <c r="M35" s="10"/>
      <c r="N35" s="10"/>
      <c r="O35" s="10"/>
      <c r="P35" s="10"/>
      <c r="Q35" s="10"/>
      <c r="R35" s="10"/>
      <c r="S35" s="10"/>
      <c r="T35" s="10"/>
      <c r="U35" s="10"/>
    </row>
    <row r="36" spans="1:21" x14ac:dyDescent="0.3">
      <c r="A36" s="10"/>
      <c r="B36" s="10"/>
      <c r="C36" s="10"/>
      <c r="D36" s="10"/>
      <c r="E36" s="10"/>
      <c r="F36" s="10"/>
      <c r="G36" s="10"/>
      <c r="H36" s="10"/>
      <c r="I36" s="10"/>
      <c r="J36" s="10"/>
      <c r="K36" s="10"/>
      <c r="L36" s="10"/>
      <c r="M36" s="10"/>
      <c r="N36" s="10"/>
      <c r="O36" s="10"/>
      <c r="P36" s="10"/>
      <c r="Q36" s="10"/>
      <c r="R36" s="10"/>
      <c r="S36" s="10"/>
      <c r="T36" s="10"/>
      <c r="U36" s="10"/>
    </row>
    <row r="39" spans="1:21" x14ac:dyDescent="0.3">
      <c r="D39" t="s">
        <v>172</v>
      </c>
    </row>
  </sheetData>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1</xdr:col>
                    <xdr:colOff>205740</xdr:colOff>
                    <xdr:row>0</xdr:row>
                    <xdr:rowOff>769620</xdr:rowOff>
                  </from>
                  <to>
                    <xdr:col>2</xdr:col>
                    <xdr:colOff>350520</xdr:colOff>
                    <xdr:row>0</xdr:row>
                    <xdr:rowOff>990600</xdr:rowOff>
                  </to>
                </anchor>
              </controlPr>
            </control>
          </mc:Choice>
        </mc:AlternateContent>
        <mc:AlternateContent xmlns:mc="http://schemas.openxmlformats.org/markup-compatibility/2006">
          <mc:Choice Requires="x14">
            <control shapeId="1026" r:id="rId9" name="Check Box 2">
              <controlPr defaultSize="0" autoFill="0" autoLine="0" autoPict="0" macro="[0]!SlicerConnection">
                <anchor moveWithCells="1">
                  <from>
                    <xdr:col>6</xdr:col>
                    <xdr:colOff>114300</xdr:colOff>
                    <xdr:row>0</xdr:row>
                    <xdr:rowOff>754380</xdr:rowOff>
                  </from>
                  <to>
                    <xdr:col>7</xdr:col>
                    <xdr:colOff>289560</xdr:colOff>
                    <xdr:row>0</xdr:row>
                    <xdr:rowOff>975360</xdr:rowOff>
                  </to>
                </anchor>
              </controlPr>
            </control>
          </mc:Choice>
        </mc:AlternateContent>
        <mc:AlternateContent xmlns:mc="http://schemas.openxmlformats.org/markup-compatibility/2006">
          <mc:Choice Requires="x14">
            <control shapeId="1027" r:id="rId10" name="Check Box 3">
              <controlPr defaultSize="0" autoFill="0" autoLine="0" autoPict="0" macro="[0]!SlicerConnection">
                <anchor moveWithCells="1">
                  <from>
                    <xdr:col>10</xdr:col>
                    <xdr:colOff>220980</xdr:colOff>
                    <xdr:row>0</xdr:row>
                    <xdr:rowOff>754380</xdr:rowOff>
                  </from>
                  <to>
                    <xdr:col>11</xdr:col>
                    <xdr:colOff>441960</xdr:colOff>
                    <xdr:row>1</xdr:row>
                    <xdr:rowOff>15240</xdr:rowOff>
                  </to>
                </anchor>
              </controlPr>
            </control>
          </mc:Choice>
        </mc:AlternateContent>
        <mc:AlternateContent xmlns:mc="http://schemas.openxmlformats.org/markup-compatibility/2006">
          <mc:Choice Requires="x14">
            <control shapeId="1028" r:id="rId11" name="Check Box 4">
              <controlPr defaultSize="0" autoFill="0" autoLine="0" autoPict="0" macro="[0]!SlicerConnection">
                <anchor moveWithCells="1">
                  <from>
                    <xdr:col>15</xdr:col>
                    <xdr:colOff>182880</xdr:colOff>
                    <xdr:row>0</xdr:row>
                    <xdr:rowOff>716280</xdr:rowOff>
                  </from>
                  <to>
                    <xdr:col>16</xdr:col>
                    <xdr:colOff>403860</xdr:colOff>
                    <xdr:row>1</xdr:row>
                    <xdr:rowOff>22860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71"/>
  <sheetViews>
    <sheetView zoomScaleNormal="100" workbookViewId="0">
      <pane ySplit="1" topLeftCell="A46" activePane="bottomLeft" state="frozen"/>
      <selection pane="bottomLeft" activeCell="A2" sqref="A1:L71"/>
    </sheetView>
  </sheetViews>
  <sheetFormatPr defaultColWidth="8.6640625" defaultRowHeight="14.4" x14ac:dyDescent="0.3"/>
  <cols>
    <col min="1" max="1" width="14" customWidth="1"/>
    <col min="2" max="2" width="20" customWidth="1"/>
    <col min="3" max="3" width="14" customWidth="1"/>
    <col min="4" max="8" width="8" customWidth="1"/>
    <col min="9" max="9" width="12" customWidth="1"/>
    <col min="10" max="10" width="10" customWidth="1"/>
    <col min="11" max="11" width="13" customWidth="1"/>
    <col min="12" max="12" width="17"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4" t="s">
        <v>14</v>
      </c>
      <c r="D2" s="5">
        <v>45</v>
      </c>
      <c r="E2" s="5">
        <v>41</v>
      </c>
      <c r="F2" s="5">
        <v>38</v>
      </c>
      <c r="G2" s="5">
        <v>27</v>
      </c>
      <c r="H2" s="5">
        <v>23</v>
      </c>
      <c r="I2" s="5">
        <f t="shared" ref="I2:I33" si="0">SUM(D2:H2)</f>
        <v>174</v>
      </c>
      <c r="J2" s="5">
        <v>500</v>
      </c>
      <c r="K2" s="6">
        <f t="shared" ref="K2:K33" si="1">I2/J2</f>
        <v>0.34799999999999998</v>
      </c>
      <c r="L2" s="6">
        <f t="shared" ref="L2:L33" si="2">1-K2</f>
        <v>0.65200000000000002</v>
      </c>
    </row>
    <row r="3" spans="1:12" x14ac:dyDescent="0.3">
      <c r="A3" s="2" t="s">
        <v>15</v>
      </c>
      <c r="B3" s="3" t="s">
        <v>16</v>
      </c>
      <c r="C3" s="4" t="s">
        <v>14</v>
      </c>
      <c r="D3" s="5">
        <v>79</v>
      </c>
      <c r="E3" s="5">
        <v>21</v>
      </c>
      <c r="F3" s="5">
        <v>85</v>
      </c>
      <c r="G3" s="5">
        <v>64</v>
      </c>
      <c r="H3" s="5">
        <v>14</v>
      </c>
      <c r="I3" s="5">
        <f t="shared" si="0"/>
        <v>263</v>
      </c>
      <c r="J3" s="5">
        <v>500</v>
      </c>
      <c r="K3" s="6">
        <f t="shared" si="1"/>
        <v>0.52600000000000002</v>
      </c>
      <c r="L3" s="6">
        <f t="shared" si="2"/>
        <v>0.47399999999999998</v>
      </c>
    </row>
    <row r="4" spans="1:12" x14ac:dyDescent="0.3">
      <c r="A4" s="2" t="s">
        <v>17</v>
      </c>
      <c r="B4" s="3" t="s">
        <v>18</v>
      </c>
      <c r="C4" s="4" t="s">
        <v>19</v>
      </c>
      <c r="D4" s="5">
        <v>39</v>
      </c>
      <c r="E4" s="5">
        <v>74</v>
      </c>
      <c r="F4" s="5">
        <v>87</v>
      </c>
      <c r="G4" s="5">
        <v>13</v>
      </c>
      <c r="H4" s="5">
        <v>81</v>
      </c>
      <c r="I4" s="5">
        <f t="shared" si="0"/>
        <v>294</v>
      </c>
      <c r="J4" s="5">
        <v>500</v>
      </c>
      <c r="K4" s="6">
        <f t="shared" si="1"/>
        <v>0.58799999999999997</v>
      </c>
      <c r="L4" s="6">
        <f t="shared" si="2"/>
        <v>0.41200000000000003</v>
      </c>
    </row>
    <row r="5" spans="1:12" x14ac:dyDescent="0.3">
      <c r="A5" s="2" t="s">
        <v>20</v>
      </c>
      <c r="B5" s="3" t="s">
        <v>21</v>
      </c>
      <c r="C5" s="4" t="s">
        <v>22</v>
      </c>
      <c r="D5" s="5">
        <v>99</v>
      </c>
      <c r="E5" s="5">
        <v>79</v>
      </c>
      <c r="F5" s="5">
        <v>63</v>
      </c>
      <c r="G5" s="5">
        <v>38</v>
      </c>
      <c r="H5" s="5">
        <v>67</v>
      </c>
      <c r="I5" s="5">
        <f t="shared" si="0"/>
        <v>346</v>
      </c>
      <c r="J5" s="5">
        <v>500</v>
      </c>
      <c r="K5" s="6">
        <f t="shared" si="1"/>
        <v>0.69199999999999995</v>
      </c>
      <c r="L5" s="6">
        <f t="shared" si="2"/>
        <v>0.30800000000000005</v>
      </c>
    </row>
    <row r="6" spans="1:12" x14ac:dyDescent="0.3">
      <c r="A6" s="2" t="s">
        <v>23</v>
      </c>
      <c r="B6" s="3" t="s">
        <v>24</v>
      </c>
      <c r="C6" s="4" t="s">
        <v>25</v>
      </c>
      <c r="D6" s="5">
        <v>10</v>
      </c>
      <c r="E6" s="5">
        <v>30</v>
      </c>
      <c r="F6" s="5">
        <v>99</v>
      </c>
      <c r="G6" s="5">
        <v>64</v>
      </c>
      <c r="H6" s="5">
        <v>53</v>
      </c>
      <c r="I6" s="5">
        <f t="shared" si="0"/>
        <v>256</v>
      </c>
      <c r="J6" s="5">
        <v>500</v>
      </c>
      <c r="K6" s="6">
        <f t="shared" si="1"/>
        <v>0.51200000000000001</v>
      </c>
      <c r="L6" s="6">
        <f t="shared" si="2"/>
        <v>0.48799999999999999</v>
      </c>
    </row>
    <row r="7" spans="1:12" x14ac:dyDescent="0.3">
      <c r="A7" s="2" t="s">
        <v>26</v>
      </c>
      <c r="B7" s="3" t="s">
        <v>27</v>
      </c>
      <c r="C7" s="4" t="s">
        <v>28</v>
      </c>
      <c r="D7" s="5">
        <v>53</v>
      </c>
      <c r="E7" s="5">
        <v>23</v>
      </c>
      <c r="F7" s="5">
        <v>21</v>
      </c>
      <c r="G7" s="5">
        <v>58</v>
      </c>
      <c r="H7" s="5">
        <v>22</v>
      </c>
      <c r="I7" s="5">
        <f t="shared" si="0"/>
        <v>177</v>
      </c>
      <c r="J7" s="5">
        <v>500</v>
      </c>
      <c r="K7" s="6">
        <f t="shared" si="1"/>
        <v>0.35399999999999998</v>
      </c>
      <c r="L7" s="6">
        <f t="shared" si="2"/>
        <v>0.64600000000000002</v>
      </c>
    </row>
    <row r="8" spans="1:12" x14ac:dyDescent="0.3">
      <c r="A8" s="2" t="s">
        <v>29</v>
      </c>
      <c r="B8" s="3" t="s">
        <v>30</v>
      </c>
      <c r="C8" s="4" t="s">
        <v>31</v>
      </c>
      <c r="D8" s="5">
        <v>87</v>
      </c>
      <c r="E8" s="5">
        <v>43</v>
      </c>
      <c r="F8" s="5">
        <v>15</v>
      </c>
      <c r="G8" s="5">
        <v>68</v>
      </c>
      <c r="H8" s="5">
        <v>78</v>
      </c>
      <c r="I8" s="5">
        <f t="shared" si="0"/>
        <v>291</v>
      </c>
      <c r="J8" s="5">
        <v>500</v>
      </c>
      <c r="K8" s="6">
        <f t="shared" si="1"/>
        <v>0.58199999999999996</v>
      </c>
      <c r="L8" s="6">
        <f t="shared" si="2"/>
        <v>0.41800000000000004</v>
      </c>
    </row>
    <row r="9" spans="1:12" x14ac:dyDescent="0.3">
      <c r="A9" s="2" t="s">
        <v>32</v>
      </c>
      <c r="B9" s="3" t="s">
        <v>33</v>
      </c>
      <c r="C9" s="4" t="s">
        <v>34</v>
      </c>
      <c r="D9" s="5">
        <v>20</v>
      </c>
      <c r="E9" s="5">
        <v>80</v>
      </c>
      <c r="F9" s="5">
        <v>47</v>
      </c>
      <c r="G9" s="5">
        <v>90</v>
      </c>
      <c r="H9" s="5">
        <v>89</v>
      </c>
      <c r="I9" s="5">
        <f t="shared" si="0"/>
        <v>326</v>
      </c>
      <c r="J9" s="5">
        <v>500</v>
      </c>
      <c r="K9" s="6">
        <f t="shared" si="1"/>
        <v>0.65200000000000002</v>
      </c>
      <c r="L9" s="6">
        <f t="shared" si="2"/>
        <v>0.34799999999999998</v>
      </c>
    </row>
    <row r="10" spans="1:12" x14ac:dyDescent="0.3">
      <c r="A10" s="2" t="s">
        <v>35</v>
      </c>
      <c r="B10" s="3" t="s">
        <v>36</v>
      </c>
      <c r="C10" s="4" t="s">
        <v>37</v>
      </c>
      <c r="D10" s="5">
        <v>83</v>
      </c>
      <c r="E10" s="5">
        <v>34</v>
      </c>
      <c r="F10" s="5">
        <v>18</v>
      </c>
      <c r="G10" s="5">
        <v>15</v>
      </c>
      <c r="H10" s="5">
        <v>94</v>
      </c>
      <c r="I10" s="5">
        <f t="shared" si="0"/>
        <v>244</v>
      </c>
      <c r="J10" s="5">
        <v>500</v>
      </c>
      <c r="K10" s="6">
        <f t="shared" si="1"/>
        <v>0.48799999999999999</v>
      </c>
      <c r="L10" s="6">
        <f t="shared" si="2"/>
        <v>0.51200000000000001</v>
      </c>
    </row>
    <row r="11" spans="1:12" x14ac:dyDescent="0.3">
      <c r="A11" s="2" t="s">
        <v>38</v>
      </c>
      <c r="B11" s="3" t="s">
        <v>39</v>
      </c>
      <c r="C11" s="4" t="s">
        <v>22</v>
      </c>
      <c r="D11" s="5">
        <v>20</v>
      </c>
      <c r="E11" s="5">
        <v>39</v>
      </c>
      <c r="F11" s="5">
        <v>22</v>
      </c>
      <c r="G11" s="5">
        <v>58</v>
      </c>
      <c r="H11" s="5">
        <v>45</v>
      </c>
      <c r="I11" s="5">
        <f t="shared" si="0"/>
        <v>184</v>
      </c>
      <c r="J11" s="5">
        <v>500</v>
      </c>
      <c r="K11" s="6">
        <f t="shared" si="1"/>
        <v>0.36799999999999999</v>
      </c>
      <c r="L11" s="6">
        <f t="shared" si="2"/>
        <v>0.63200000000000001</v>
      </c>
    </row>
    <row r="12" spans="1:12" x14ac:dyDescent="0.3">
      <c r="A12" s="2" t="s">
        <v>40</v>
      </c>
      <c r="B12" s="3" t="s">
        <v>41</v>
      </c>
      <c r="C12" s="4" t="s">
        <v>42</v>
      </c>
      <c r="D12" s="5">
        <v>56</v>
      </c>
      <c r="E12" s="5">
        <v>30</v>
      </c>
      <c r="F12" s="5">
        <v>57</v>
      </c>
      <c r="G12" s="5">
        <v>55</v>
      </c>
      <c r="H12" s="5">
        <v>36</v>
      </c>
      <c r="I12" s="5">
        <f t="shared" si="0"/>
        <v>234</v>
      </c>
      <c r="J12" s="5">
        <v>500</v>
      </c>
      <c r="K12" s="6">
        <f t="shared" si="1"/>
        <v>0.46800000000000003</v>
      </c>
      <c r="L12" s="6">
        <f t="shared" si="2"/>
        <v>0.53200000000000003</v>
      </c>
    </row>
    <row r="13" spans="1:12" x14ac:dyDescent="0.3">
      <c r="A13" s="2" t="s">
        <v>43</v>
      </c>
      <c r="B13" s="3" t="s">
        <v>44</v>
      </c>
      <c r="C13" s="4" t="s">
        <v>14</v>
      </c>
      <c r="D13" s="5">
        <v>97</v>
      </c>
      <c r="E13" s="5">
        <v>92</v>
      </c>
      <c r="F13" s="5">
        <v>19</v>
      </c>
      <c r="G13" s="5">
        <v>87</v>
      </c>
      <c r="H13" s="5">
        <v>91</v>
      </c>
      <c r="I13" s="5">
        <f t="shared" si="0"/>
        <v>386</v>
      </c>
      <c r="J13" s="5">
        <v>500</v>
      </c>
      <c r="K13" s="6">
        <f t="shared" si="1"/>
        <v>0.77200000000000002</v>
      </c>
      <c r="L13" s="6">
        <f t="shared" si="2"/>
        <v>0.22799999999999998</v>
      </c>
    </row>
    <row r="14" spans="1:12" x14ac:dyDescent="0.3">
      <c r="A14" s="2" t="s">
        <v>45</v>
      </c>
      <c r="B14" s="3" t="s">
        <v>46</v>
      </c>
      <c r="C14" s="4" t="s">
        <v>47</v>
      </c>
      <c r="D14" s="5">
        <v>41</v>
      </c>
      <c r="E14" s="5">
        <v>30</v>
      </c>
      <c r="F14" s="5">
        <v>69</v>
      </c>
      <c r="G14" s="5">
        <v>58</v>
      </c>
      <c r="H14" s="5">
        <v>44</v>
      </c>
      <c r="I14" s="5">
        <f t="shared" si="0"/>
        <v>242</v>
      </c>
      <c r="J14" s="5">
        <v>500</v>
      </c>
      <c r="K14" s="6">
        <f t="shared" si="1"/>
        <v>0.48399999999999999</v>
      </c>
      <c r="L14" s="6">
        <f t="shared" si="2"/>
        <v>0.51600000000000001</v>
      </c>
    </row>
    <row r="15" spans="1:12" x14ac:dyDescent="0.3">
      <c r="A15" s="2" t="s">
        <v>48</v>
      </c>
      <c r="B15" s="3" t="s">
        <v>49</v>
      </c>
      <c r="C15" s="4" t="s">
        <v>37</v>
      </c>
      <c r="D15" s="5">
        <v>81</v>
      </c>
      <c r="E15" s="5">
        <v>38</v>
      </c>
      <c r="F15" s="5">
        <v>97</v>
      </c>
      <c r="G15" s="5">
        <v>51</v>
      </c>
      <c r="H15" s="5">
        <v>17</v>
      </c>
      <c r="I15" s="5">
        <f t="shared" si="0"/>
        <v>284</v>
      </c>
      <c r="J15" s="5">
        <v>500</v>
      </c>
      <c r="K15" s="6">
        <f t="shared" si="1"/>
        <v>0.56799999999999995</v>
      </c>
      <c r="L15" s="6">
        <f t="shared" si="2"/>
        <v>0.43200000000000005</v>
      </c>
    </row>
    <row r="16" spans="1:12" x14ac:dyDescent="0.3">
      <c r="A16" s="2" t="s">
        <v>50</v>
      </c>
      <c r="B16" s="3" t="s">
        <v>51</v>
      </c>
      <c r="C16" s="4" t="s">
        <v>22</v>
      </c>
      <c r="D16" s="5">
        <v>50</v>
      </c>
      <c r="E16" s="5">
        <v>61</v>
      </c>
      <c r="F16" s="5">
        <v>44</v>
      </c>
      <c r="G16" s="5">
        <v>18</v>
      </c>
      <c r="H16" s="5">
        <v>37</v>
      </c>
      <c r="I16" s="5">
        <f t="shared" si="0"/>
        <v>210</v>
      </c>
      <c r="J16" s="5">
        <v>500</v>
      </c>
      <c r="K16" s="6">
        <f t="shared" si="1"/>
        <v>0.42</v>
      </c>
      <c r="L16" s="6">
        <f t="shared" si="2"/>
        <v>0.58000000000000007</v>
      </c>
    </row>
    <row r="17" spans="1:12" x14ac:dyDescent="0.3">
      <c r="A17" s="2" t="s">
        <v>52</v>
      </c>
      <c r="B17" s="3" t="s">
        <v>53</v>
      </c>
      <c r="C17" s="4" t="s">
        <v>37</v>
      </c>
      <c r="D17" s="5">
        <v>50</v>
      </c>
      <c r="E17" s="5">
        <v>37</v>
      </c>
      <c r="F17" s="5">
        <v>93</v>
      </c>
      <c r="G17" s="5">
        <v>73</v>
      </c>
      <c r="H17" s="5">
        <v>60</v>
      </c>
      <c r="I17" s="5">
        <f t="shared" si="0"/>
        <v>313</v>
      </c>
      <c r="J17" s="5">
        <v>500</v>
      </c>
      <c r="K17" s="6">
        <f t="shared" si="1"/>
        <v>0.626</v>
      </c>
      <c r="L17" s="6">
        <f t="shared" si="2"/>
        <v>0.374</v>
      </c>
    </row>
    <row r="18" spans="1:12" x14ac:dyDescent="0.3">
      <c r="A18" s="2" t="s">
        <v>54</v>
      </c>
      <c r="B18" s="3" t="s">
        <v>55</v>
      </c>
      <c r="C18" s="4" t="s">
        <v>37</v>
      </c>
      <c r="D18" s="5">
        <v>68</v>
      </c>
      <c r="E18" s="5">
        <v>28</v>
      </c>
      <c r="F18" s="5">
        <v>43</v>
      </c>
      <c r="G18" s="5">
        <v>27</v>
      </c>
      <c r="H18" s="5">
        <v>41</v>
      </c>
      <c r="I18" s="5">
        <f t="shared" si="0"/>
        <v>207</v>
      </c>
      <c r="J18" s="5">
        <v>500</v>
      </c>
      <c r="K18" s="6">
        <f t="shared" si="1"/>
        <v>0.41399999999999998</v>
      </c>
      <c r="L18" s="6">
        <f t="shared" si="2"/>
        <v>0.58600000000000008</v>
      </c>
    </row>
    <row r="19" spans="1:12" x14ac:dyDescent="0.3">
      <c r="A19" s="2" t="s">
        <v>56</v>
      </c>
      <c r="B19" s="3" t="s">
        <v>57</v>
      </c>
      <c r="C19" s="4" t="s">
        <v>58</v>
      </c>
      <c r="D19" s="5">
        <v>43</v>
      </c>
      <c r="E19" s="5">
        <v>84</v>
      </c>
      <c r="F19" s="5">
        <v>64</v>
      </c>
      <c r="G19" s="5">
        <v>84</v>
      </c>
      <c r="H19" s="5">
        <v>61</v>
      </c>
      <c r="I19" s="5">
        <f t="shared" si="0"/>
        <v>336</v>
      </c>
      <c r="J19" s="5">
        <v>500</v>
      </c>
      <c r="K19" s="6">
        <f t="shared" si="1"/>
        <v>0.67200000000000004</v>
      </c>
      <c r="L19" s="6">
        <f t="shared" si="2"/>
        <v>0.32799999999999996</v>
      </c>
    </row>
    <row r="20" spans="1:12" x14ac:dyDescent="0.3">
      <c r="A20" s="2" t="s">
        <v>59</v>
      </c>
      <c r="B20" s="3" t="s">
        <v>60</v>
      </c>
      <c r="C20" s="4" t="s">
        <v>31</v>
      </c>
      <c r="D20" s="5">
        <v>75</v>
      </c>
      <c r="E20" s="5">
        <v>73</v>
      </c>
      <c r="F20" s="5">
        <v>21</v>
      </c>
      <c r="G20" s="5">
        <v>16</v>
      </c>
      <c r="H20" s="5">
        <v>24</v>
      </c>
      <c r="I20" s="5">
        <f t="shared" si="0"/>
        <v>209</v>
      </c>
      <c r="J20" s="5">
        <v>500</v>
      </c>
      <c r="K20" s="6">
        <f t="shared" si="1"/>
        <v>0.41799999999999998</v>
      </c>
      <c r="L20" s="6">
        <f t="shared" si="2"/>
        <v>0.58200000000000007</v>
      </c>
    </row>
    <row r="21" spans="1:12" x14ac:dyDescent="0.3">
      <c r="A21" s="2" t="s">
        <v>61</v>
      </c>
      <c r="B21" s="3" t="s">
        <v>62</v>
      </c>
      <c r="C21" s="4" t="s">
        <v>47</v>
      </c>
      <c r="D21" s="5">
        <v>97</v>
      </c>
      <c r="E21" s="5">
        <v>64</v>
      </c>
      <c r="F21" s="5">
        <v>86</v>
      </c>
      <c r="G21" s="5">
        <v>18</v>
      </c>
      <c r="H21" s="5">
        <v>59</v>
      </c>
      <c r="I21" s="5">
        <f t="shared" si="0"/>
        <v>324</v>
      </c>
      <c r="J21" s="5">
        <v>500</v>
      </c>
      <c r="K21" s="6">
        <f t="shared" si="1"/>
        <v>0.64800000000000002</v>
      </c>
      <c r="L21" s="6">
        <f t="shared" si="2"/>
        <v>0.35199999999999998</v>
      </c>
    </row>
    <row r="22" spans="1:12" x14ac:dyDescent="0.3">
      <c r="A22" s="2" t="s">
        <v>63</v>
      </c>
      <c r="B22" s="3" t="s">
        <v>64</v>
      </c>
      <c r="C22" s="4" t="s">
        <v>65</v>
      </c>
      <c r="D22" s="5">
        <v>77</v>
      </c>
      <c r="E22" s="5">
        <v>42</v>
      </c>
      <c r="F22" s="5">
        <v>80</v>
      </c>
      <c r="G22" s="5">
        <v>11</v>
      </c>
      <c r="H22" s="5">
        <v>97</v>
      </c>
      <c r="I22" s="5">
        <f t="shared" si="0"/>
        <v>307</v>
      </c>
      <c r="J22" s="5">
        <v>500</v>
      </c>
      <c r="K22" s="6">
        <f t="shared" si="1"/>
        <v>0.61399999999999999</v>
      </c>
      <c r="L22" s="6">
        <f t="shared" si="2"/>
        <v>0.38600000000000001</v>
      </c>
    </row>
    <row r="23" spans="1:12" x14ac:dyDescent="0.3">
      <c r="A23" s="2" t="s">
        <v>66</v>
      </c>
      <c r="B23" s="3" t="s">
        <v>67</v>
      </c>
      <c r="C23" s="4" t="s">
        <v>58</v>
      </c>
      <c r="D23" s="5">
        <v>78</v>
      </c>
      <c r="E23" s="5">
        <v>44</v>
      </c>
      <c r="F23" s="5">
        <v>92</v>
      </c>
      <c r="G23" s="5">
        <v>53</v>
      </c>
      <c r="H23" s="5">
        <v>24</v>
      </c>
      <c r="I23" s="5">
        <f t="shared" si="0"/>
        <v>291</v>
      </c>
      <c r="J23" s="5">
        <v>500</v>
      </c>
      <c r="K23" s="6">
        <f t="shared" si="1"/>
        <v>0.58199999999999996</v>
      </c>
      <c r="L23" s="6">
        <f t="shared" si="2"/>
        <v>0.41800000000000004</v>
      </c>
    </row>
    <row r="24" spans="1:12" x14ac:dyDescent="0.3">
      <c r="A24" s="2" t="s">
        <v>68</v>
      </c>
      <c r="B24" s="3" t="s">
        <v>69</v>
      </c>
      <c r="C24" s="4" t="s">
        <v>28</v>
      </c>
      <c r="D24" s="5">
        <v>68</v>
      </c>
      <c r="E24" s="5">
        <v>10</v>
      </c>
      <c r="F24" s="5">
        <v>43</v>
      </c>
      <c r="G24" s="5">
        <v>74</v>
      </c>
      <c r="H24" s="5">
        <v>32</v>
      </c>
      <c r="I24" s="5">
        <f t="shared" si="0"/>
        <v>227</v>
      </c>
      <c r="J24" s="5">
        <v>500</v>
      </c>
      <c r="K24" s="6">
        <f t="shared" si="1"/>
        <v>0.45400000000000001</v>
      </c>
      <c r="L24" s="6">
        <f t="shared" si="2"/>
        <v>0.54600000000000004</v>
      </c>
    </row>
    <row r="25" spans="1:12" x14ac:dyDescent="0.3">
      <c r="A25" s="2" t="s">
        <v>70</v>
      </c>
      <c r="B25" s="3" t="s">
        <v>71</v>
      </c>
      <c r="C25" s="4" t="s">
        <v>72</v>
      </c>
      <c r="D25" s="5">
        <v>90</v>
      </c>
      <c r="E25" s="5">
        <v>48</v>
      </c>
      <c r="F25" s="5">
        <v>91</v>
      </c>
      <c r="G25" s="5">
        <v>74</v>
      </c>
      <c r="H25" s="5">
        <v>87</v>
      </c>
      <c r="I25" s="5">
        <f t="shared" si="0"/>
        <v>390</v>
      </c>
      <c r="J25" s="5">
        <v>500</v>
      </c>
      <c r="K25" s="6">
        <f t="shared" si="1"/>
        <v>0.78</v>
      </c>
      <c r="L25" s="6">
        <f t="shared" si="2"/>
        <v>0.21999999999999997</v>
      </c>
    </row>
    <row r="26" spans="1:12" x14ac:dyDescent="0.3">
      <c r="A26" s="2" t="s">
        <v>73</v>
      </c>
      <c r="B26" s="3" t="s">
        <v>74</v>
      </c>
      <c r="C26" s="4" t="s">
        <v>22</v>
      </c>
      <c r="D26" s="5">
        <v>30</v>
      </c>
      <c r="E26" s="5">
        <v>79</v>
      </c>
      <c r="F26" s="5">
        <v>77</v>
      </c>
      <c r="G26" s="5">
        <v>10</v>
      </c>
      <c r="H26" s="5">
        <v>86</v>
      </c>
      <c r="I26" s="5">
        <f t="shared" si="0"/>
        <v>282</v>
      </c>
      <c r="J26" s="5">
        <v>500</v>
      </c>
      <c r="K26" s="6">
        <f t="shared" si="1"/>
        <v>0.56399999999999995</v>
      </c>
      <c r="L26" s="6">
        <f t="shared" si="2"/>
        <v>0.43600000000000005</v>
      </c>
    </row>
    <row r="27" spans="1:12" x14ac:dyDescent="0.3">
      <c r="A27" s="2" t="s">
        <v>75</v>
      </c>
      <c r="B27" s="3" t="s">
        <v>76</v>
      </c>
      <c r="C27" s="4" t="s">
        <v>31</v>
      </c>
      <c r="D27" s="5">
        <v>24</v>
      </c>
      <c r="E27" s="5">
        <v>56</v>
      </c>
      <c r="F27" s="5">
        <v>49</v>
      </c>
      <c r="G27" s="5">
        <v>40</v>
      </c>
      <c r="H27" s="5">
        <v>17</v>
      </c>
      <c r="I27" s="5">
        <f t="shared" si="0"/>
        <v>186</v>
      </c>
      <c r="J27" s="5">
        <v>500</v>
      </c>
      <c r="K27" s="6">
        <f t="shared" si="1"/>
        <v>0.372</v>
      </c>
      <c r="L27" s="6">
        <f t="shared" si="2"/>
        <v>0.628</v>
      </c>
    </row>
    <row r="28" spans="1:12" x14ac:dyDescent="0.3">
      <c r="A28" s="2" t="s">
        <v>77</v>
      </c>
      <c r="B28" s="3" t="s">
        <v>78</v>
      </c>
      <c r="C28" s="4" t="s">
        <v>22</v>
      </c>
      <c r="D28" s="5">
        <v>20</v>
      </c>
      <c r="E28" s="5">
        <v>20</v>
      </c>
      <c r="F28" s="5">
        <v>72</v>
      </c>
      <c r="G28" s="5">
        <v>18</v>
      </c>
      <c r="H28" s="5">
        <v>78</v>
      </c>
      <c r="I28" s="5">
        <f t="shared" si="0"/>
        <v>208</v>
      </c>
      <c r="J28" s="5">
        <v>500</v>
      </c>
      <c r="K28" s="6">
        <f t="shared" si="1"/>
        <v>0.41599999999999998</v>
      </c>
      <c r="L28" s="6">
        <f t="shared" si="2"/>
        <v>0.58400000000000007</v>
      </c>
    </row>
    <row r="29" spans="1:12" x14ac:dyDescent="0.3">
      <c r="A29" s="2" t="s">
        <v>79</v>
      </c>
      <c r="B29" s="3" t="s">
        <v>80</v>
      </c>
      <c r="C29" s="4" t="s">
        <v>81</v>
      </c>
      <c r="D29" s="5">
        <v>94</v>
      </c>
      <c r="E29" s="5">
        <v>70</v>
      </c>
      <c r="F29" s="5">
        <v>80</v>
      </c>
      <c r="G29" s="5">
        <v>31</v>
      </c>
      <c r="H29" s="5">
        <v>43</v>
      </c>
      <c r="I29" s="5">
        <f t="shared" si="0"/>
        <v>318</v>
      </c>
      <c r="J29" s="5">
        <v>500</v>
      </c>
      <c r="K29" s="6">
        <f t="shared" si="1"/>
        <v>0.63600000000000001</v>
      </c>
      <c r="L29" s="6">
        <f t="shared" si="2"/>
        <v>0.36399999999999999</v>
      </c>
    </row>
    <row r="30" spans="1:12" x14ac:dyDescent="0.3">
      <c r="A30" s="2" t="s">
        <v>82</v>
      </c>
      <c r="B30" s="3" t="s">
        <v>83</v>
      </c>
      <c r="C30" s="4" t="s">
        <v>72</v>
      </c>
      <c r="D30" s="5">
        <v>64</v>
      </c>
      <c r="E30" s="5">
        <v>37</v>
      </c>
      <c r="F30" s="5">
        <v>79</v>
      </c>
      <c r="G30" s="5">
        <v>98</v>
      </c>
      <c r="H30" s="5">
        <v>35</v>
      </c>
      <c r="I30" s="5">
        <f t="shared" si="0"/>
        <v>313</v>
      </c>
      <c r="J30" s="5">
        <v>500</v>
      </c>
      <c r="K30" s="6">
        <f t="shared" si="1"/>
        <v>0.626</v>
      </c>
      <c r="L30" s="6">
        <f t="shared" si="2"/>
        <v>0.374</v>
      </c>
    </row>
    <row r="31" spans="1:12" x14ac:dyDescent="0.3">
      <c r="A31" s="2" t="s">
        <v>84</v>
      </c>
      <c r="B31" s="3" t="s">
        <v>85</v>
      </c>
      <c r="C31" s="4" t="s">
        <v>58</v>
      </c>
      <c r="D31" s="5">
        <v>95</v>
      </c>
      <c r="E31" s="5">
        <v>93</v>
      </c>
      <c r="F31" s="5">
        <v>57</v>
      </c>
      <c r="G31" s="5">
        <v>66</v>
      </c>
      <c r="H31" s="5">
        <v>76</v>
      </c>
      <c r="I31" s="5">
        <f t="shared" si="0"/>
        <v>387</v>
      </c>
      <c r="J31" s="5">
        <v>500</v>
      </c>
      <c r="K31" s="6">
        <f t="shared" si="1"/>
        <v>0.77400000000000002</v>
      </c>
      <c r="L31" s="6">
        <f t="shared" si="2"/>
        <v>0.22599999999999998</v>
      </c>
    </row>
    <row r="32" spans="1:12" x14ac:dyDescent="0.3">
      <c r="A32" s="2" t="s">
        <v>86</v>
      </c>
      <c r="B32" s="3" t="s">
        <v>87</v>
      </c>
      <c r="C32" s="4" t="s">
        <v>42</v>
      </c>
      <c r="D32" s="5">
        <v>38</v>
      </c>
      <c r="E32" s="5">
        <v>18</v>
      </c>
      <c r="F32" s="5">
        <v>53</v>
      </c>
      <c r="G32" s="5">
        <v>12</v>
      </c>
      <c r="H32" s="5">
        <v>85</v>
      </c>
      <c r="I32" s="5">
        <f t="shared" si="0"/>
        <v>206</v>
      </c>
      <c r="J32" s="5">
        <v>500</v>
      </c>
      <c r="K32" s="6">
        <f t="shared" si="1"/>
        <v>0.41199999999999998</v>
      </c>
      <c r="L32" s="6">
        <f t="shared" si="2"/>
        <v>0.58800000000000008</v>
      </c>
    </row>
    <row r="33" spans="1:12" x14ac:dyDescent="0.3">
      <c r="A33" s="2" t="s">
        <v>88</v>
      </c>
      <c r="B33" s="3" t="s">
        <v>89</v>
      </c>
      <c r="C33" s="4" t="s">
        <v>72</v>
      </c>
      <c r="D33" s="5">
        <v>38</v>
      </c>
      <c r="E33" s="5">
        <v>10</v>
      </c>
      <c r="F33" s="5">
        <v>19</v>
      </c>
      <c r="G33" s="5">
        <v>90</v>
      </c>
      <c r="H33" s="5">
        <v>17</v>
      </c>
      <c r="I33" s="5">
        <f t="shared" si="0"/>
        <v>174</v>
      </c>
      <c r="J33" s="5">
        <v>500</v>
      </c>
      <c r="K33" s="6">
        <f t="shared" si="1"/>
        <v>0.34799999999999998</v>
      </c>
      <c r="L33" s="6">
        <f t="shared" si="2"/>
        <v>0.65200000000000002</v>
      </c>
    </row>
    <row r="34" spans="1:12" x14ac:dyDescent="0.3">
      <c r="A34" s="2" t="s">
        <v>90</v>
      </c>
      <c r="B34" s="3" t="s">
        <v>91</v>
      </c>
      <c r="C34" s="4" t="s">
        <v>22</v>
      </c>
      <c r="D34" s="5">
        <v>14</v>
      </c>
      <c r="E34" s="5">
        <v>52</v>
      </c>
      <c r="F34" s="5">
        <v>19</v>
      </c>
      <c r="G34" s="5">
        <v>75</v>
      </c>
      <c r="H34" s="5">
        <v>40</v>
      </c>
      <c r="I34" s="5">
        <f t="shared" ref="I34:I65" si="3">SUM(D34:H34)</f>
        <v>200</v>
      </c>
      <c r="J34" s="5">
        <v>500</v>
      </c>
      <c r="K34" s="6">
        <f t="shared" ref="K34:K65" si="4">I34/J34</f>
        <v>0.4</v>
      </c>
      <c r="L34" s="6">
        <f t="shared" ref="L34:L65" si="5">1-K34</f>
        <v>0.6</v>
      </c>
    </row>
    <row r="35" spans="1:12" x14ac:dyDescent="0.3">
      <c r="A35" s="2" t="s">
        <v>92</v>
      </c>
      <c r="B35" s="3" t="s">
        <v>93</v>
      </c>
      <c r="C35" s="4" t="s">
        <v>28</v>
      </c>
      <c r="D35" s="5">
        <v>37</v>
      </c>
      <c r="E35" s="5">
        <v>79</v>
      </c>
      <c r="F35" s="5">
        <v>26</v>
      </c>
      <c r="G35" s="5">
        <v>83</v>
      </c>
      <c r="H35" s="5">
        <v>83</v>
      </c>
      <c r="I35" s="5">
        <f t="shared" si="3"/>
        <v>308</v>
      </c>
      <c r="J35" s="5">
        <v>500</v>
      </c>
      <c r="K35" s="6">
        <f t="shared" si="4"/>
        <v>0.61599999999999999</v>
      </c>
      <c r="L35" s="6">
        <f t="shared" si="5"/>
        <v>0.38400000000000001</v>
      </c>
    </row>
    <row r="36" spans="1:12" x14ac:dyDescent="0.3">
      <c r="A36" s="2" t="s">
        <v>94</v>
      </c>
      <c r="B36" s="3" t="s">
        <v>95</v>
      </c>
      <c r="C36" s="4" t="s">
        <v>42</v>
      </c>
      <c r="D36" s="5">
        <v>70</v>
      </c>
      <c r="E36" s="5">
        <v>62</v>
      </c>
      <c r="F36" s="5">
        <v>34</v>
      </c>
      <c r="G36" s="5">
        <v>22</v>
      </c>
      <c r="H36" s="5">
        <v>22</v>
      </c>
      <c r="I36" s="5">
        <f t="shared" si="3"/>
        <v>210</v>
      </c>
      <c r="J36" s="5">
        <v>500</v>
      </c>
      <c r="K36" s="6">
        <f t="shared" si="4"/>
        <v>0.42</v>
      </c>
      <c r="L36" s="6">
        <f t="shared" si="5"/>
        <v>0.58000000000000007</v>
      </c>
    </row>
    <row r="37" spans="1:12" x14ac:dyDescent="0.3">
      <c r="A37" s="2" t="s">
        <v>96</v>
      </c>
      <c r="B37" s="3" t="s">
        <v>97</v>
      </c>
      <c r="C37" s="4" t="s">
        <v>14</v>
      </c>
      <c r="D37" s="5">
        <v>64</v>
      </c>
      <c r="E37" s="5">
        <v>62</v>
      </c>
      <c r="F37" s="5">
        <v>69</v>
      </c>
      <c r="G37" s="5">
        <v>16</v>
      </c>
      <c r="H37" s="5">
        <v>96</v>
      </c>
      <c r="I37" s="5">
        <f t="shared" si="3"/>
        <v>307</v>
      </c>
      <c r="J37" s="5">
        <v>500</v>
      </c>
      <c r="K37" s="6">
        <f t="shared" si="4"/>
        <v>0.61399999999999999</v>
      </c>
      <c r="L37" s="6">
        <f t="shared" si="5"/>
        <v>0.38600000000000001</v>
      </c>
    </row>
    <row r="38" spans="1:12" x14ac:dyDescent="0.3">
      <c r="A38" s="2" t="s">
        <v>98</v>
      </c>
      <c r="B38" s="3" t="s">
        <v>99</v>
      </c>
      <c r="C38" s="4" t="s">
        <v>14</v>
      </c>
      <c r="D38" s="5">
        <v>17</v>
      </c>
      <c r="E38" s="5">
        <v>61</v>
      </c>
      <c r="F38" s="5">
        <v>53</v>
      </c>
      <c r="G38" s="5">
        <v>23</v>
      </c>
      <c r="H38" s="5">
        <v>41</v>
      </c>
      <c r="I38" s="5">
        <f t="shared" si="3"/>
        <v>195</v>
      </c>
      <c r="J38" s="5">
        <v>500</v>
      </c>
      <c r="K38" s="6">
        <f t="shared" si="4"/>
        <v>0.39</v>
      </c>
      <c r="L38" s="6">
        <f t="shared" si="5"/>
        <v>0.61</v>
      </c>
    </row>
    <row r="39" spans="1:12" x14ac:dyDescent="0.3">
      <c r="A39" s="2" t="s">
        <v>100</v>
      </c>
      <c r="B39" s="3" t="s">
        <v>101</v>
      </c>
      <c r="C39" s="4" t="s">
        <v>22</v>
      </c>
      <c r="D39" s="5">
        <v>67</v>
      </c>
      <c r="E39" s="5">
        <v>27</v>
      </c>
      <c r="F39" s="5">
        <v>64</v>
      </c>
      <c r="G39" s="5">
        <v>33</v>
      </c>
      <c r="H39" s="5">
        <v>45</v>
      </c>
      <c r="I39" s="5">
        <f t="shared" si="3"/>
        <v>236</v>
      </c>
      <c r="J39" s="5">
        <v>500</v>
      </c>
      <c r="K39" s="6">
        <f t="shared" si="4"/>
        <v>0.47199999999999998</v>
      </c>
      <c r="L39" s="6">
        <f t="shared" si="5"/>
        <v>0.52800000000000002</v>
      </c>
    </row>
    <row r="40" spans="1:12" x14ac:dyDescent="0.3">
      <c r="A40" s="2" t="s">
        <v>102</v>
      </c>
      <c r="B40" s="3" t="s">
        <v>103</v>
      </c>
      <c r="C40" s="4" t="s">
        <v>42</v>
      </c>
      <c r="D40" s="5">
        <v>19</v>
      </c>
      <c r="E40" s="5">
        <v>66</v>
      </c>
      <c r="F40" s="5">
        <v>80</v>
      </c>
      <c r="G40" s="5">
        <v>22</v>
      </c>
      <c r="H40" s="5">
        <v>16</v>
      </c>
      <c r="I40" s="5">
        <f t="shared" si="3"/>
        <v>203</v>
      </c>
      <c r="J40" s="5">
        <v>500</v>
      </c>
      <c r="K40" s="6">
        <f t="shared" si="4"/>
        <v>0.40600000000000003</v>
      </c>
      <c r="L40" s="6">
        <f t="shared" si="5"/>
        <v>0.59399999999999997</v>
      </c>
    </row>
    <row r="41" spans="1:12" x14ac:dyDescent="0.3">
      <c r="A41" s="2" t="s">
        <v>104</v>
      </c>
      <c r="B41" s="3" t="s">
        <v>105</v>
      </c>
      <c r="C41" s="4" t="s">
        <v>14</v>
      </c>
      <c r="D41" s="5">
        <v>11</v>
      </c>
      <c r="E41" s="5">
        <v>21</v>
      </c>
      <c r="F41" s="5">
        <v>40</v>
      </c>
      <c r="G41" s="5">
        <v>31</v>
      </c>
      <c r="H41" s="5">
        <v>62</v>
      </c>
      <c r="I41" s="5">
        <f t="shared" si="3"/>
        <v>165</v>
      </c>
      <c r="J41" s="5">
        <v>500</v>
      </c>
      <c r="K41" s="6">
        <f t="shared" si="4"/>
        <v>0.33</v>
      </c>
      <c r="L41" s="6">
        <f t="shared" si="5"/>
        <v>0.66999999999999993</v>
      </c>
    </row>
    <row r="42" spans="1:12" x14ac:dyDescent="0.3">
      <c r="A42" s="2" t="s">
        <v>106</v>
      </c>
      <c r="B42" s="3" t="s">
        <v>107</v>
      </c>
      <c r="C42" s="4" t="s">
        <v>42</v>
      </c>
      <c r="D42" s="5">
        <v>61</v>
      </c>
      <c r="E42" s="5">
        <v>17</v>
      </c>
      <c r="F42" s="5">
        <v>31</v>
      </c>
      <c r="G42" s="5">
        <v>58</v>
      </c>
      <c r="H42" s="5">
        <v>10</v>
      </c>
      <c r="I42" s="5">
        <f t="shared" si="3"/>
        <v>177</v>
      </c>
      <c r="J42" s="5">
        <v>500</v>
      </c>
      <c r="K42" s="6">
        <f t="shared" si="4"/>
        <v>0.35399999999999998</v>
      </c>
      <c r="L42" s="6">
        <f t="shared" si="5"/>
        <v>0.64600000000000002</v>
      </c>
    </row>
    <row r="43" spans="1:12" x14ac:dyDescent="0.3">
      <c r="A43" s="2" t="s">
        <v>108</v>
      </c>
      <c r="B43" s="3" t="s">
        <v>109</v>
      </c>
      <c r="C43" s="4" t="s">
        <v>65</v>
      </c>
      <c r="D43" s="5">
        <v>68</v>
      </c>
      <c r="E43" s="5">
        <v>46</v>
      </c>
      <c r="F43" s="5">
        <v>64</v>
      </c>
      <c r="G43" s="5">
        <v>99</v>
      </c>
      <c r="H43" s="5">
        <v>81</v>
      </c>
      <c r="I43" s="5">
        <f t="shared" si="3"/>
        <v>358</v>
      </c>
      <c r="J43" s="5">
        <v>500</v>
      </c>
      <c r="K43" s="6">
        <f t="shared" si="4"/>
        <v>0.71599999999999997</v>
      </c>
      <c r="L43" s="6">
        <f t="shared" si="5"/>
        <v>0.28400000000000003</v>
      </c>
    </row>
    <row r="44" spans="1:12" x14ac:dyDescent="0.3">
      <c r="A44" s="2" t="s">
        <v>110</v>
      </c>
      <c r="B44" s="3" t="s">
        <v>111</v>
      </c>
      <c r="C44" s="4" t="s">
        <v>14</v>
      </c>
      <c r="D44" s="5">
        <v>29</v>
      </c>
      <c r="E44" s="5">
        <v>34</v>
      </c>
      <c r="F44" s="5">
        <v>47</v>
      </c>
      <c r="G44" s="5">
        <v>37</v>
      </c>
      <c r="H44" s="5">
        <v>17</v>
      </c>
      <c r="I44" s="5">
        <f t="shared" si="3"/>
        <v>164</v>
      </c>
      <c r="J44" s="5">
        <v>500</v>
      </c>
      <c r="K44" s="6">
        <f t="shared" si="4"/>
        <v>0.32800000000000001</v>
      </c>
      <c r="L44" s="6">
        <f t="shared" si="5"/>
        <v>0.67199999999999993</v>
      </c>
    </row>
    <row r="45" spans="1:12" x14ac:dyDescent="0.3">
      <c r="A45" s="2" t="s">
        <v>112</v>
      </c>
      <c r="B45" s="3" t="s">
        <v>113</v>
      </c>
      <c r="C45" s="4" t="s">
        <v>25</v>
      </c>
      <c r="D45" s="5">
        <v>17</v>
      </c>
      <c r="E45" s="5">
        <v>50</v>
      </c>
      <c r="F45" s="5">
        <v>17</v>
      </c>
      <c r="G45" s="5">
        <v>16</v>
      </c>
      <c r="H45" s="5">
        <v>84</v>
      </c>
      <c r="I45" s="5">
        <f t="shared" si="3"/>
        <v>184</v>
      </c>
      <c r="J45" s="5">
        <v>500</v>
      </c>
      <c r="K45" s="6">
        <f t="shared" si="4"/>
        <v>0.36799999999999999</v>
      </c>
      <c r="L45" s="6">
        <f t="shared" si="5"/>
        <v>0.63200000000000001</v>
      </c>
    </row>
    <row r="46" spans="1:12" x14ac:dyDescent="0.3">
      <c r="A46" s="2" t="s">
        <v>114</v>
      </c>
      <c r="B46" s="3" t="s">
        <v>115</v>
      </c>
      <c r="C46" s="4" t="s">
        <v>42</v>
      </c>
      <c r="D46" s="5">
        <v>77</v>
      </c>
      <c r="E46" s="5">
        <v>30</v>
      </c>
      <c r="F46" s="5">
        <v>17</v>
      </c>
      <c r="G46" s="5">
        <v>75</v>
      </c>
      <c r="H46" s="5">
        <v>20</v>
      </c>
      <c r="I46" s="5">
        <f t="shared" si="3"/>
        <v>219</v>
      </c>
      <c r="J46" s="5">
        <v>500</v>
      </c>
      <c r="K46" s="6">
        <f t="shared" si="4"/>
        <v>0.438</v>
      </c>
      <c r="L46" s="6">
        <f t="shared" si="5"/>
        <v>0.56200000000000006</v>
      </c>
    </row>
    <row r="47" spans="1:12" x14ac:dyDescent="0.3">
      <c r="A47" s="2" t="s">
        <v>116</v>
      </c>
      <c r="B47" s="3" t="s">
        <v>117</v>
      </c>
      <c r="C47" s="4" t="s">
        <v>118</v>
      </c>
      <c r="D47" s="5">
        <v>86</v>
      </c>
      <c r="E47" s="5">
        <v>18</v>
      </c>
      <c r="F47" s="5">
        <v>96</v>
      </c>
      <c r="G47" s="5">
        <v>40</v>
      </c>
      <c r="H47" s="5">
        <v>61</v>
      </c>
      <c r="I47" s="5">
        <f t="shared" si="3"/>
        <v>301</v>
      </c>
      <c r="J47" s="5">
        <v>500</v>
      </c>
      <c r="K47" s="6">
        <f t="shared" si="4"/>
        <v>0.60199999999999998</v>
      </c>
      <c r="L47" s="6">
        <f t="shared" si="5"/>
        <v>0.39800000000000002</v>
      </c>
    </row>
    <row r="48" spans="1:12" x14ac:dyDescent="0.3">
      <c r="A48" s="2" t="s">
        <v>119</v>
      </c>
      <c r="B48" s="3" t="s">
        <v>120</v>
      </c>
      <c r="C48" s="4" t="s">
        <v>34</v>
      </c>
      <c r="D48" s="5">
        <v>86</v>
      </c>
      <c r="E48" s="5">
        <v>15</v>
      </c>
      <c r="F48" s="5">
        <v>89</v>
      </c>
      <c r="G48" s="5">
        <v>20</v>
      </c>
      <c r="H48" s="5">
        <v>63</v>
      </c>
      <c r="I48" s="5">
        <f t="shared" si="3"/>
        <v>273</v>
      </c>
      <c r="J48" s="5">
        <v>500</v>
      </c>
      <c r="K48" s="6">
        <f t="shared" si="4"/>
        <v>0.54600000000000004</v>
      </c>
      <c r="L48" s="6">
        <f t="shared" si="5"/>
        <v>0.45399999999999996</v>
      </c>
    </row>
    <row r="49" spans="1:12" x14ac:dyDescent="0.3">
      <c r="A49" s="2" t="s">
        <v>121</v>
      </c>
      <c r="B49" s="3" t="s">
        <v>122</v>
      </c>
      <c r="C49" s="4" t="s">
        <v>14</v>
      </c>
      <c r="D49" s="5">
        <v>76</v>
      </c>
      <c r="E49" s="5">
        <v>50</v>
      </c>
      <c r="F49" s="5">
        <v>43</v>
      </c>
      <c r="G49" s="5">
        <v>36</v>
      </c>
      <c r="H49" s="5">
        <v>95</v>
      </c>
      <c r="I49" s="5">
        <f t="shared" si="3"/>
        <v>300</v>
      </c>
      <c r="J49" s="5">
        <v>500</v>
      </c>
      <c r="K49" s="6">
        <f t="shared" si="4"/>
        <v>0.6</v>
      </c>
      <c r="L49" s="6">
        <f t="shared" si="5"/>
        <v>0.4</v>
      </c>
    </row>
    <row r="50" spans="1:12" x14ac:dyDescent="0.3">
      <c r="A50" s="2" t="s">
        <v>123</v>
      </c>
      <c r="B50" s="3" t="s">
        <v>124</v>
      </c>
      <c r="C50" s="4" t="s">
        <v>58</v>
      </c>
      <c r="D50" s="5">
        <v>43</v>
      </c>
      <c r="E50" s="5">
        <v>60</v>
      </c>
      <c r="F50" s="5">
        <v>26</v>
      </c>
      <c r="G50" s="5">
        <v>95</v>
      </c>
      <c r="H50" s="5">
        <v>92</v>
      </c>
      <c r="I50" s="5">
        <f t="shared" si="3"/>
        <v>316</v>
      </c>
      <c r="J50" s="5">
        <v>500</v>
      </c>
      <c r="K50" s="6">
        <f t="shared" si="4"/>
        <v>0.63200000000000001</v>
      </c>
      <c r="L50" s="6">
        <f t="shared" si="5"/>
        <v>0.36799999999999999</v>
      </c>
    </row>
    <row r="51" spans="1:12" x14ac:dyDescent="0.3">
      <c r="A51" s="2" t="s">
        <v>125</v>
      </c>
      <c r="B51" s="3" t="s">
        <v>126</v>
      </c>
      <c r="C51" s="4" t="s">
        <v>28</v>
      </c>
      <c r="D51" s="5">
        <v>19</v>
      </c>
      <c r="E51" s="5">
        <v>11</v>
      </c>
      <c r="F51" s="5">
        <v>68</v>
      </c>
      <c r="G51" s="5">
        <v>89</v>
      </c>
      <c r="H51" s="5">
        <v>82</v>
      </c>
      <c r="I51" s="5">
        <f t="shared" si="3"/>
        <v>269</v>
      </c>
      <c r="J51" s="5">
        <v>500</v>
      </c>
      <c r="K51" s="6">
        <f t="shared" si="4"/>
        <v>0.53800000000000003</v>
      </c>
      <c r="L51" s="6">
        <f t="shared" si="5"/>
        <v>0.46199999999999997</v>
      </c>
    </row>
    <row r="52" spans="1:12" x14ac:dyDescent="0.3">
      <c r="A52" s="2" t="s">
        <v>127</v>
      </c>
      <c r="B52" s="3" t="s">
        <v>128</v>
      </c>
      <c r="C52" s="4" t="s">
        <v>34</v>
      </c>
      <c r="D52" s="5">
        <v>37</v>
      </c>
      <c r="E52" s="5">
        <v>74</v>
      </c>
      <c r="F52" s="5">
        <v>43</v>
      </c>
      <c r="G52" s="5">
        <v>26</v>
      </c>
      <c r="H52" s="5">
        <v>54</v>
      </c>
      <c r="I52" s="5">
        <f t="shared" si="3"/>
        <v>234</v>
      </c>
      <c r="J52" s="5">
        <v>500</v>
      </c>
      <c r="K52" s="6">
        <f t="shared" si="4"/>
        <v>0.46800000000000003</v>
      </c>
      <c r="L52" s="6">
        <f t="shared" si="5"/>
        <v>0.53200000000000003</v>
      </c>
    </row>
    <row r="53" spans="1:12" x14ac:dyDescent="0.3">
      <c r="A53" s="2" t="s">
        <v>129</v>
      </c>
      <c r="B53" s="3" t="s">
        <v>130</v>
      </c>
      <c r="C53" s="4" t="s">
        <v>37</v>
      </c>
      <c r="D53" s="5">
        <v>46</v>
      </c>
      <c r="E53" s="5">
        <v>30</v>
      </c>
      <c r="F53" s="5">
        <v>66</v>
      </c>
      <c r="G53" s="5">
        <v>79</v>
      </c>
      <c r="H53" s="5">
        <v>48</v>
      </c>
      <c r="I53" s="5">
        <f t="shared" si="3"/>
        <v>269</v>
      </c>
      <c r="J53" s="5">
        <v>500</v>
      </c>
      <c r="K53" s="6">
        <f t="shared" si="4"/>
        <v>0.53800000000000003</v>
      </c>
      <c r="L53" s="6">
        <f t="shared" si="5"/>
        <v>0.46199999999999997</v>
      </c>
    </row>
    <row r="54" spans="1:12" x14ac:dyDescent="0.3">
      <c r="A54" s="2" t="s">
        <v>131</v>
      </c>
      <c r="B54" s="3" t="s">
        <v>132</v>
      </c>
      <c r="C54" s="4" t="s">
        <v>25</v>
      </c>
      <c r="D54" s="5">
        <v>77</v>
      </c>
      <c r="E54" s="5">
        <v>11</v>
      </c>
      <c r="F54" s="5">
        <v>95</v>
      </c>
      <c r="G54" s="5">
        <v>80</v>
      </c>
      <c r="H54" s="5">
        <v>48</v>
      </c>
      <c r="I54" s="5">
        <f t="shared" si="3"/>
        <v>311</v>
      </c>
      <c r="J54" s="5">
        <v>500</v>
      </c>
      <c r="K54" s="6">
        <f t="shared" si="4"/>
        <v>0.622</v>
      </c>
      <c r="L54" s="6">
        <f t="shared" si="5"/>
        <v>0.378</v>
      </c>
    </row>
    <row r="55" spans="1:12" x14ac:dyDescent="0.3">
      <c r="A55" s="2" t="s">
        <v>133</v>
      </c>
      <c r="B55" s="3" t="s">
        <v>134</v>
      </c>
      <c r="C55" s="4" t="s">
        <v>37</v>
      </c>
      <c r="D55" s="5">
        <v>27</v>
      </c>
      <c r="E55" s="5">
        <v>43</v>
      </c>
      <c r="F55" s="5">
        <v>24</v>
      </c>
      <c r="G55" s="5">
        <v>23</v>
      </c>
      <c r="H55" s="5">
        <v>80</v>
      </c>
      <c r="I55" s="5">
        <f t="shared" si="3"/>
        <v>197</v>
      </c>
      <c r="J55" s="5">
        <v>500</v>
      </c>
      <c r="K55" s="6">
        <f t="shared" si="4"/>
        <v>0.39400000000000002</v>
      </c>
      <c r="L55" s="6">
        <f t="shared" si="5"/>
        <v>0.60599999999999998</v>
      </c>
    </row>
    <row r="56" spans="1:12" x14ac:dyDescent="0.3">
      <c r="A56" s="2" t="s">
        <v>135</v>
      </c>
      <c r="B56" s="3" t="s">
        <v>136</v>
      </c>
      <c r="C56" s="4" t="s">
        <v>47</v>
      </c>
      <c r="D56" s="5">
        <v>87</v>
      </c>
      <c r="E56" s="5">
        <v>36</v>
      </c>
      <c r="F56" s="5">
        <v>53</v>
      </c>
      <c r="G56" s="5">
        <v>36</v>
      </c>
      <c r="H56" s="5">
        <v>97</v>
      </c>
      <c r="I56" s="5">
        <f t="shared" si="3"/>
        <v>309</v>
      </c>
      <c r="J56" s="5">
        <v>500</v>
      </c>
      <c r="K56" s="6">
        <f t="shared" si="4"/>
        <v>0.61799999999999999</v>
      </c>
      <c r="L56" s="6">
        <f t="shared" si="5"/>
        <v>0.38200000000000001</v>
      </c>
    </row>
    <row r="57" spans="1:12" x14ac:dyDescent="0.3">
      <c r="A57" s="2" t="s">
        <v>137</v>
      </c>
      <c r="B57" s="3" t="s">
        <v>138</v>
      </c>
      <c r="C57" s="4" t="s">
        <v>14</v>
      </c>
      <c r="D57" s="5">
        <v>74</v>
      </c>
      <c r="E57" s="5">
        <v>72</v>
      </c>
      <c r="F57" s="5">
        <v>42</v>
      </c>
      <c r="G57" s="5">
        <v>16</v>
      </c>
      <c r="H57" s="5">
        <v>21</v>
      </c>
      <c r="I57" s="5">
        <f t="shared" si="3"/>
        <v>225</v>
      </c>
      <c r="J57" s="5">
        <v>500</v>
      </c>
      <c r="K57" s="6">
        <f t="shared" si="4"/>
        <v>0.45</v>
      </c>
      <c r="L57" s="6">
        <f t="shared" si="5"/>
        <v>0.55000000000000004</v>
      </c>
    </row>
    <row r="58" spans="1:12" x14ac:dyDescent="0.3">
      <c r="A58" s="2" t="s">
        <v>139</v>
      </c>
      <c r="B58" s="3" t="s">
        <v>140</v>
      </c>
      <c r="C58" s="4" t="s">
        <v>14</v>
      </c>
      <c r="D58" s="5">
        <v>45</v>
      </c>
      <c r="E58" s="5">
        <v>15</v>
      </c>
      <c r="F58" s="5">
        <v>10</v>
      </c>
      <c r="G58" s="5">
        <v>52</v>
      </c>
      <c r="H58" s="5">
        <v>26</v>
      </c>
      <c r="I58" s="5">
        <f t="shared" si="3"/>
        <v>148</v>
      </c>
      <c r="J58" s="5">
        <v>500</v>
      </c>
      <c r="K58" s="6">
        <f t="shared" si="4"/>
        <v>0.29599999999999999</v>
      </c>
      <c r="L58" s="6">
        <f t="shared" si="5"/>
        <v>0.70399999999999996</v>
      </c>
    </row>
    <row r="59" spans="1:12" x14ac:dyDescent="0.3">
      <c r="A59" s="2" t="s">
        <v>141</v>
      </c>
      <c r="B59" s="3" t="s">
        <v>142</v>
      </c>
      <c r="C59" s="4" t="s">
        <v>14</v>
      </c>
      <c r="D59" s="5">
        <v>66</v>
      </c>
      <c r="E59" s="5">
        <v>80</v>
      </c>
      <c r="F59" s="5">
        <v>64</v>
      </c>
      <c r="G59" s="5">
        <v>81</v>
      </c>
      <c r="H59" s="5">
        <v>11</v>
      </c>
      <c r="I59" s="5">
        <f t="shared" si="3"/>
        <v>302</v>
      </c>
      <c r="J59" s="5">
        <v>500</v>
      </c>
      <c r="K59" s="6">
        <f t="shared" si="4"/>
        <v>0.60399999999999998</v>
      </c>
      <c r="L59" s="6">
        <f t="shared" si="5"/>
        <v>0.39600000000000002</v>
      </c>
    </row>
    <row r="60" spans="1:12" x14ac:dyDescent="0.3">
      <c r="A60" s="2" t="s">
        <v>143</v>
      </c>
      <c r="B60" s="3" t="s">
        <v>144</v>
      </c>
      <c r="C60" s="4" t="s">
        <v>34</v>
      </c>
      <c r="D60" s="5">
        <v>29</v>
      </c>
      <c r="E60" s="5">
        <v>79</v>
      </c>
      <c r="F60" s="5">
        <v>14</v>
      </c>
      <c r="G60" s="5">
        <v>57</v>
      </c>
      <c r="H60" s="5">
        <v>84</v>
      </c>
      <c r="I60" s="5">
        <f t="shared" si="3"/>
        <v>263</v>
      </c>
      <c r="J60" s="5">
        <v>500</v>
      </c>
      <c r="K60" s="6">
        <f t="shared" si="4"/>
        <v>0.52600000000000002</v>
      </c>
      <c r="L60" s="6">
        <f t="shared" si="5"/>
        <v>0.47399999999999998</v>
      </c>
    </row>
    <row r="61" spans="1:12" x14ac:dyDescent="0.3">
      <c r="A61" s="2" t="s">
        <v>145</v>
      </c>
      <c r="B61" s="3" t="s">
        <v>146</v>
      </c>
      <c r="C61" s="4" t="s">
        <v>72</v>
      </c>
      <c r="D61" s="5">
        <v>26</v>
      </c>
      <c r="E61" s="5">
        <v>15</v>
      </c>
      <c r="F61" s="5">
        <v>49</v>
      </c>
      <c r="G61" s="5">
        <v>56</v>
      </c>
      <c r="H61" s="5">
        <v>15</v>
      </c>
      <c r="I61" s="5">
        <f t="shared" si="3"/>
        <v>161</v>
      </c>
      <c r="J61" s="5">
        <v>500</v>
      </c>
      <c r="K61" s="6">
        <f t="shared" si="4"/>
        <v>0.32200000000000001</v>
      </c>
      <c r="L61" s="6">
        <f t="shared" si="5"/>
        <v>0.67799999999999994</v>
      </c>
    </row>
    <row r="62" spans="1:12" x14ac:dyDescent="0.3">
      <c r="A62" s="2" t="s">
        <v>147</v>
      </c>
      <c r="B62" s="3" t="s">
        <v>148</v>
      </c>
      <c r="C62" s="4" t="s">
        <v>37</v>
      </c>
      <c r="D62" s="5">
        <v>97</v>
      </c>
      <c r="E62" s="5">
        <v>41</v>
      </c>
      <c r="F62" s="5">
        <v>95</v>
      </c>
      <c r="G62" s="5">
        <v>23</v>
      </c>
      <c r="H62" s="5">
        <v>55</v>
      </c>
      <c r="I62" s="5">
        <f t="shared" si="3"/>
        <v>311</v>
      </c>
      <c r="J62" s="5">
        <v>500</v>
      </c>
      <c r="K62" s="6">
        <f t="shared" si="4"/>
        <v>0.622</v>
      </c>
      <c r="L62" s="6">
        <f t="shared" si="5"/>
        <v>0.378</v>
      </c>
    </row>
    <row r="63" spans="1:12" x14ac:dyDescent="0.3">
      <c r="A63" s="2" t="s">
        <v>149</v>
      </c>
      <c r="B63" s="3" t="s">
        <v>150</v>
      </c>
      <c r="C63" s="4" t="s">
        <v>81</v>
      </c>
      <c r="D63" s="5">
        <v>62</v>
      </c>
      <c r="E63" s="5">
        <v>89</v>
      </c>
      <c r="F63" s="5">
        <v>29</v>
      </c>
      <c r="G63" s="5">
        <v>40</v>
      </c>
      <c r="H63" s="5">
        <v>30</v>
      </c>
      <c r="I63" s="5">
        <f t="shared" si="3"/>
        <v>250</v>
      </c>
      <c r="J63" s="5">
        <v>500</v>
      </c>
      <c r="K63" s="6">
        <f t="shared" si="4"/>
        <v>0.5</v>
      </c>
      <c r="L63" s="6">
        <f t="shared" si="5"/>
        <v>0.5</v>
      </c>
    </row>
    <row r="64" spans="1:12" x14ac:dyDescent="0.3">
      <c r="A64" s="2" t="s">
        <v>151</v>
      </c>
      <c r="B64" s="3" t="s">
        <v>152</v>
      </c>
      <c r="C64" s="4" t="s">
        <v>81</v>
      </c>
      <c r="D64" s="5">
        <v>62</v>
      </c>
      <c r="E64" s="5">
        <v>13</v>
      </c>
      <c r="F64" s="5">
        <v>32</v>
      </c>
      <c r="G64" s="5">
        <v>52</v>
      </c>
      <c r="H64" s="5">
        <v>62</v>
      </c>
      <c r="I64" s="5">
        <f t="shared" si="3"/>
        <v>221</v>
      </c>
      <c r="J64" s="5">
        <v>500</v>
      </c>
      <c r="K64" s="6">
        <f t="shared" si="4"/>
        <v>0.442</v>
      </c>
      <c r="L64" s="6">
        <f t="shared" si="5"/>
        <v>0.55800000000000005</v>
      </c>
    </row>
    <row r="65" spans="1:12" x14ac:dyDescent="0.3">
      <c r="A65" s="2" t="s">
        <v>153</v>
      </c>
      <c r="B65" s="3" t="s">
        <v>154</v>
      </c>
      <c r="C65" s="4" t="s">
        <v>81</v>
      </c>
      <c r="D65" s="5">
        <v>41</v>
      </c>
      <c r="E65" s="5">
        <v>44</v>
      </c>
      <c r="F65" s="5">
        <v>30</v>
      </c>
      <c r="G65" s="5">
        <v>99</v>
      </c>
      <c r="H65" s="5">
        <v>23</v>
      </c>
      <c r="I65" s="5">
        <f t="shared" si="3"/>
        <v>237</v>
      </c>
      <c r="J65" s="5">
        <v>500</v>
      </c>
      <c r="K65" s="6">
        <f t="shared" si="4"/>
        <v>0.47399999999999998</v>
      </c>
      <c r="L65" s="6">
        <f t="shared" si="5"/>
        <v>0.52600000000000002</v>
      </c>
    </row>
    <row r="66" spans="1:12" x14ac:dyDescent="0.3">
      <c r="A66" s="2" t="s">
        <v>155</v>
      </c>
      <c r="B66" s="3" t="s">
        <v>156</v>
      </c>
      <c r="C66" s="4" t="s">
        <v>65</v>
      </c>
      <c r="D66" s="5">
        <v>70</v>
      </c>
      <c r="E66" s="5">
        <v>38</v>
      </c>
      <c r="F66" s="5">
        <v>35</v>
      </c>
      <c r="G66" s="5">
        <v>68</v>
      </c>
      <c r="H66" s="5">
        <v>54</v>
      </c>
      <c r="I66" s="5">
        <f t="shared" ref="I66:I97" si="6">SUM(D66:H66)</f>
        <v>265</v>
      </c>
      <c r="J66" s="5">
        <v>500</v>
      </c>
      <c r="K66" s="6">
        <f t="shared" ref="K66:K97" si="7">I66/J66</f>
        <v>0.53</v>
      </c>
      <c r="L66" s="6">
        <f t="shared" ref="L66:L97" si="8">1-K66</f>
        <v>0.47</v>
      </c>
    </row>
    <row r="67" spans="1:12" x14ac:dyDescent="0.3">
      <c r="A67" s="2" t="s">
        <v>157</v>
      </c>
      <c r="B67" s="3" t="s">
        <v>158</v>
      </c>
      <c r="C67" s="4" t="s">
        <v>28</v>
      </c>
      <c r="D67" s="5">
        <v>39</v>
      </c>
      <c r="E67" s="5">
        <v>38</v>
      </c>
      <c r="F67" s="5">
        <v>13</v>
      </c>
      <c r="G67" s="5">
        <v>94</v>
      </c>
      <c r="H67" s="5">
        <v>34</v>
      </c>
      <c r="I67" s="5">
        <f t="shared" si="6"/>
        <v>218</v>
      </c>
      <c r="J67" s="5">
        <v>500</v>
      </c>
      <c r="K67" s="6">
        <f t="shared" si="7"/>
        <v>0.436</v>
      </c>
      <c r="L67" s="6">
        <f t="shared" si="8"/>
        <v>0.56400000000000006</v>
      </c>
    </row>
    <row r="68" spans="1:12" x14ac:dyDescent="0.3">
      <c r="A68" s="2" t="s">
        <v>159</v>
      </c>
      <c r="B68" s="3" t="s">
        <v>160</v>
      </c>
      <c r="C68" s="4" t="s">
        <v>65</v>
      </c>
      <c r="D68" s="5">
        <v>18</v>
      </c>
      <c r="E68" s="5">
        <v>45</v>
      </c>
      <c r="F68" s="5">
        <v>54</v>
      </c>
      <c r="G68" s="5">
        <v>92</v>
      </c>
      <c r="H68" s="5">
        <v>75</v>
      </c>
      <c r="I68" s="5">
        <f t="shared" si="6"/>
        <v>284</v>
      </c>
      <c r="J68" s="5">
        <v>500</v>
      </c>
      <c r="K68" s="6">
        <f t="shared" si="7"/>
        <v>0.56799999999999995</v>
      </c>
      <c r="L68" s="6">
        <f t="shared" si="8"/>
        <v>0.43200000000000005</v>
      </c>
    </row>
    <row r="69" spans="1:12" x14ac:dyDescent="0.3">
      <c r="A69" s="2" t="s">
        <v>161</v>
      </c>
      <c r="B69" s="3" t="s">
        <v>162</v>
      </c>
      <c r="C69" s="4" t="s">
        <v>65</v>
      </c>
      <c r="D69" s="5">
        <v>78</v>
      </c>
      <c r="E69" s="5">
        <v>52</v>
      </c>
      <c r="F69" s="5">
        <v>13</v>
      </c>
      <c r="G69" s="5">
        <v>24</v>
      </c>
      <c r="H69" s="5">
        <v>43</v>
      </c>
      <c r="I69" s="5">
        <f t="shared" si="6"/>
        <v>210</v>
      </c>
      <c r="J69" s="5">
        <v>500</v>
      </c>
      <c r="K69" s="6">
        <f t="shared" si="7"/>
        <v>0.42</v>
      </c>
      <c r="L69" s="6">
        <f t="shared" si="8"/>
        <v>0.58000000000000007</v>
      </c>
    </row>
    <row r="70" spans="1:12" x14ac:dyDescent="0.3">
      <c r="A70" s="2" t="s">
        <v>163</v>
      </c>
      <c r="B70" s="3" t="s">
        <v>164</v>
      </c>
      <c r="C70" s="4" t="s">
        <v>47</v>
      </c>
      <c r="D70" s="5">
        <v>14</v>
      </c>
      <c r="E70" s="5">
        <v>23</v>
      </c>
      <c r="F70" s="5">
        <v>86</v>
      </c>
      <c r="G70" s="5">
        <v>65</v>
      </c>
      <c r="H70" s="5">
        <v>54</v>
      </c>
      <c r="I70" s="5">
        <f t="shared" si="6"/>
        <v>242</v>
      </c>
      <c r="J70" s="5">
        <v>500</v>
      </c>
      <c r="K70" s="6">
        <f t="shared" si="7"/>
        <v>0.48399999999999999</v>
      </c>
      <c r="L70" s="6">
        <f t="shared" si="8"/>
        <v>0.51600000000000001</v>
      </c>
    </row>
    <row r="71" spans="1:12" x14ac:dyDescent="0.3">
      <c r="A71" s="2" t="s">
        <v>165</v>
      </c>
      <c r="B71" s="3" t="s">
        <v>166</v>
      </c>
      <c r="C71" s="4" t="s">
        <v>58</v>
      </c>
      <c r="D71" s="5">
        <v>65</v>
      </c>
      <c r="E71" s="5">
        <v>87</v>
      </c>
      <c r="F71" s="5">
        <v>75</v>
      </c>
      <c r="G71" s="5">
        <v>24</v>
      </c>
      <c r="H71" s="5">
        <v>59</v>
      </c>
      <c r="I71" s="5">
        <f t="shared" si="6"/>
        <v>310</v>
      </c>
      <c r="J71" s="5">
        <v>500</v>
      </c>
      <c r="K71" s="6">
        <f t="shared" si="7"/>
        <v>0.62</v>
      </c>
      <c r="L71" s="6">
        <f t="shared" si="8"/>
        <v>0.38</v>
      </c>
    </row>
  </sheetData>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Areebasattar90@gmail.com</cp:lastModifiedBy>
  <cp:revision>0</cp:revision>
  <dcterms:created xsi:type="dcterms:W3CDTF">2026-09-13T09:18:19Z</dcterms:created>
  <dcterms:modified xsi:type="dcterms:W3CDTF">2026-09-13T16:50:22Z</dcterms:modified>
  <dc:language>en-US</dc:language>
</cp:coreProperties>
</file>